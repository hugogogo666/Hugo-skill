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SIN现状诊断" sheetId="1" state="visible" r:id="rId1"/>
    <sheet xmlns:r="http://schemas.openxmlformats.org/officeDocument/2006/relationships" name="02_关键词分层与竞价" sheetId="2" state="visible" r:id="rId2"/>
    <sheet xmlns:r="http://schemas.openxmlformats.org/officeDocument/2006/relationships" name="03_广告活动架构" sheetId="3" state="visible" r:id="rId3"/>
    <sheet xmlns:r="http://schemas.openxmlformats.org/officeDocument/2006/relationships" name="04_预算与盈亏模型" sheetId="4" state="visible" r:id="rId4"/>
    <sheet xmlns:r="http://schemas.openxmlformats.org/officeDocument/2006/relationships" name="05_45天推进计划" sheetId="5" state="visible" r:id="rId5"/>
    <sheet xmlns:r="http://schemas.openxmlformats.org/officeDocument/2006/relationships" name="06_优化与止损规则" sheetId="6" state="visible" r:id="rId6"/>
    <sheet xmlns:r="http://schemas.openxmlformats.org/officeDocument/2006/relationships" name="07_否定词与隔离词" sheetId="7" state="visible" r:id="rId7"/>
    <sheet xmlns:r="http://schemas.openxmlformats.org/officeDocument/2006/relationships" name="08_Listing承接清单" sheetId="8" state="visible" r:id="rId8"/>
    <sheet xmlns:r="http://schemas.openxmlformats.org/officeDocument/2006/relationships" name="09_广告监测模板" sheetId="9" state="visible" r:id="rId9"/>
    <sheet xmlns:r="http://schemas.openxmlformats.org/officeDocument/2006/relationships" name="10_KPI与数据缺口" sheetId="10" state="visible" r:id="rId10"/>
  </sheets>
  <definedNames>
    <definedName name="_xlnm._FilterDatabase" localSheetId="0" hidden="1">'01_ASIN现状诊断'!$A$4:$D$17</definedName>
    <definedName name="_xlnm._FilterDatabase" localSheetId="1" hidden="1">'02_关键词分层与竞价'!$A$4:$I$30</definedName>
    <definedName name="_xlnm._FilterDatabase" localSheetId="2" hidden="1">'03_广告活动架构'!$A$4:$J$13</definedName>
    <definedName name="_xlnm._FilterDatabase" localSheetId="4" hidden="1">'05_45天推进计划'!$A$4:$G$9</definedName>
    <definedName name="_xlnm._FilterDatabase" localSheetId="5" hidden="1">'06_优化与止损规则'!$A$4:$F$17</definedName>
    <definedName name="_xlnm._FilterDatabase" localSheetId="6" hidden="1">'07_否定词与隔离词'!$A$4:$F$19</definedName>
    <definedName name="_xlnm._FilterDatabase" localSheetId="7" hidden="1">'08_Listing承接清单'!$A$4:$F$14</definedName>
    <definedName name="_xlnm._FilterDatabase" localSheetId="8" hidden="1">'09_广告监测模板'!$A$4:$X$104</definedName>
    <definedName name="_xlnm._FilterDatabase" localSheetId="9" hidden="1">'10_KPI与数据缺口'!$A$4:$F$18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0.0"/>
    <numFmt numFmtId="166" formatCode="0.0%"/>
    <numFmt numFmtId="167" formatCode="yyyy-mm-dd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10"/>
    </font>
    <font>
      <name val="Microsoft YaHei"/>
      <b val="1"/>
      <color rgb="00FFFFFF"/>
    </font>
    <font>
      <name val="Microsoft YaHei"/>
      <color rgb="001F1F1F"/>
      <sz val="10"/>
    </font>
    <font>
      <name val="Calibri"/>
      <family val="2"/>
      <color theme="10"/>
      <sz val="12"/>
      <scheme val="minor"/>
    </font>
    <font>
      <name val="Microsoft YaHei"/>
      <b val="1"/>
      <color rgb="00FFFFFF"/>
      <sz val="12"/>
    </font>
    <font>
      <name val="Microsoft YaHei"/>
      <sz val="11"/>
    </font>
    <font>
      <b val="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medium">
        <color rgb="001F4E78"/>
      </top>
      <bottom style="medium">
        <color rgb="001F4E78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2">
    <xf numFmtId="0" fontId="0" fillId="0" borderId="0"/>
    <xf numFmtId="0" fontId="5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1"/>
    <xf numFmtId="0" fontId="4" fillId="4" borderId="2" applyAlignment="1" pivotButton="0" quotePrefix="0" xfId="0">
      <alignment vertical="top" wrapText="1"/>
    </xf>
    <xf numFmtId="0" fontId="6" fillId="5" borderId="0" applyAlignment="1" pivotButton="0" quotePrefix="0" xfId="0">
      <alignment horizontal="center"/>
    </xf>
    <xf numFmtId="0" fontId="7" fillId="6" borderId="2" applyAlignment="1" pivotButton="0" quotePrefix="0" xfId="0">
      <alignment vertical="center" wrapText="1"/>
    </xf>
    <xf numFmtId="9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9" fontId="4" fillId="4" borderId="2" applyAlignment="1" pivotButton="0" quotePrefix="0" xfId="0">
      <alignment vertical="top" wrapText="1"/>
    </xf>
    <xf numFmtId="164" fontId="4" fillId="4" borderId="2" applyAlignment="1" pivotButton="0" quotePrefix="0" xfId="0">
      <alignment vertical="top" wrapText="1"/>
    </xf>
    <xf numFmtId="0" fontId="8" fillId="0" borderId="0" pivotButton="0" quotePrefix="0" xfId="0"/>
    <xf numFmtId="9" fontId="8" fillId="0" borderId="0" pivotButton="0" quotePrefix="0" xfId="0"/>
    <xf numFmtId="164" fontId="8" fillId="0" borderId="0" pivotButton="0" quotePrefix="0" xfId="0"/>
    <xf numFmtId="164" fontId="4" fillId="7" borderId="2" applyAlignment="1" pivotButton="0" quotePrefix="0" xfId="0">
      <alignment vertical="top" wrapText="1"/>
    </xf>
    <xf numFmtId="9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9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165" fontId="4" fillId="4" borderId="2" applyAlignment="1" pivotButton="0" quotePrefix="0" xfId="0">
      <alignment vertical="top" wrapText="1"/>
    </xf>
    <xf numFmtId="166" fontId="4" fillId="4" borderId="2" applyAlignment="1" pivotButton="0" quotePrefix="0" xfId="0">
      <alignment vertical="top" wrapText="1"/>
    </xf>
    <xf numFmtId="165" fontId="4" fillId="0" borderId="2" applyAlignment="1" pivotButton="0" quotePrefix="0" xfId="0">
      <alignment vertical="top" wrapText="1"/>
    </xf>
    <xf numFmtId="166" fontId="4" fillId="0" borderId="2" applyAlignment="1" pivotButton="0" quotePrefix="0" xfId="0">
      <alignment vertical="top" wrapText="1"/>
    </xf>
    <xf numFmtId="0" fontId="9" fillId="8" borderId="0" pivotButton="0" quotePrefix="0" xfId="0"/>
    <xf numFmtId="0" fontId="3" fillId="8" borderId="1" applyAlignment="1" pivotButton="0" quotePrefix="0" xfId="0">
      <alignment horizontal="center" vertical="center" wrapText="1"/>
    </xf>
    <xf numFmtId="167" fontId="4" fillId="0" borderId="2" applyAlignment="1" pivotButton="0" quotePrefix="0" xfId="0">
      <alignment vertical="top" wrapText="1"/>
    </xf>
    <xf numFmtId="2" fontId="4" fillId="0" borderId="2" applyAlignment="1" pivotButton="0" quotePrefix="0" xfId="0">
      <alignment vertical="top" wrapText="1"/>
    </xf>
    <xf numFmtId="167" fontId="4" fillId="4" borderId="2" applyAlignment="1" pivotButton="0" quotePrefix="0" xfId="0">
      <alignment vertical="top" wrapText="1"/>
    </xf>
    <xf numFmtId="2" fontId="4" fillId="4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F6D5RSG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35" customWidth="1" min="3" max="3"/>
    <col width="48" customWidth="1" min="4" max="4"/>
  </cols>
  <sheetData>
    <row r="1" ht="30" customHeight="1">
      <c r="A1" s="1" t="inlineStr">
        <is>
          <t>B0F6D5RSGH｜亚马逊广告从0到1推进方案</t>
        </is>
      </c>
    </row>
    <row r="2" ht="28" customHeight="1">
      <c r="A2" s="2" t="inlineStr">
        <is>
          <t>站点：Amazon US｜数据快照：2026-07-30｜说明：站外观测数据用于制定起始策略，最终以卖家后台广告与业务报告为准。</t>
        </is>
      </c>
    </row>
    <row r="4" ht="28" customHeight="1">
      <c r="A4" s="3" t="inlineStr">
        <is>
          <t>维度</t>
        </is>
      </c>
      <c r="B4" s="3" t="inlineStr">
        <is>
          <t>当前数据/状态</t>
        </is>
      </c>
      <c r="C4" s="3" t="inlineStr">
        <is>
          <t>经营判断</t>
        </is>
      </c>
      <c r="D4" s="3" t="inlineStr">
        <is>
          <t>对广告计划的影响</t>
        </is>
      </c>
    </row>
    <row r="5" ht="38" customHeight="1">
      <c r="A5" s="4" t="inlineStr">
        <is>
          <t>ASIN</t>
        </is>
      </c>
      <c r="B5" s="5" t="inlineStr">
        <is>
          <t>B0F6D5RSGH</t>
        </is>
      </c>
      <c r="C5" s="4" t="inlineStr">
        <is>
          <t>已有一定基础，不是真正零数据新品</t>
        </is>
      </c>
      <c r="D5" s="4" t="inlineStr">
        <is>
          <t>采用“重建广告底盘+扩词+降大词依赖”，不采用纯冷启动打法</t>
        </is>
      </c>
    </row>
    <row r="6" ht="38" customHeight="1">
      <c r="A6" s="6" t="inlineStr">
        <is>
          <t>品牌</t>
        </is>
      </c>
      <c r="B6" s="6" t="inlineStr">
        <is>
          <t>Mbeysaq</t>
        </is>
      </c>
      <c r="C6" s="6" t="inlineStr">
        <is>
          <t>品牌流量基础有限</t>
        </is>
      </c>
      <c r="D6" s="6" t="inlineStr">
        <is>
          <t>预算优先投非品牌高相关需求词</t>
        </is>
      </c>
    </row>
    <row r="7" ht="38" customHeight="1">
      <c r="A7" s="4" t="inlineStr">
        <is>
          <t>产品定位</t>
        </is>
      </c>
      <c r="B7" s="4" t="inlineStr">
        <is>
          <t>6FT、12MM、4位可重置密码、自卷式自行车钢缆锁</t>
        </is>
      </c>
      <c r="C7" s="4" t="inlineStr">
        <is>
          <t>核心差异化清晰</t>
        </is>
      </c>
      <c r="D7" s="4" t="inlineStr">
        <is>
          <t>围绕长度、粗度、密码、E-bike/Scooter建立关键词集群</t>
        </is>
      </c>
    </row>
    <row r="8" ht="38" customHeight="1">
      <c r="A8" s="6" t="inlineStr">
        <is>
          <t>上架日期</t>
        </is>
      </c>
      <c r="B8" s="6" t="inlineStr">
        <is>
          <t>2025-04-23</t>
        </is>
      </c>
      <c r="C8" s="6" t="inlineStr">
        <is>
          <t>已跨过纯新品阶段</t>
        </is>
      </c>
      <c r="D8" s="6" t="inlineStr">
        <is>
          <t>可以使用历史搜索词和自然排名做优化</t>
        </is>
      </c>
    </row>
    <row r="9" ht="38" customHeight="1">
      <c r="A9" s="4" t="inlineStr">
        <is>
          <t>类目</t>
        </is>
      </c>
      <c r="B9" s="4" t="inlineStr">
        <is>
          <t>Sports &amp; Outdoors &gt; Cycling &gt; Bike Locks &gt; Cable Locks</t>
        </is>
      </c>
      <c r="C9" s="4" t="inlineStr">
        <is>
          <t>产品类目明确</t>
        </is>
      </c>
      <c r="D9" s="4" t="inlineStr">
        <is>
          <t>以Cable Lock搜索词和同类商品定向为主</t>
        </is>
      </c>
    </row>
    <row r="10" ht="38" customHeight="1">
      <c r="A10" s="6" t="inlineStr">
        <is>
          <t>大类BSR</t>
        </is>
      </c>
      <c r="B10" s="6" t="inlineStr">
        <is>
          <t>约11,692</t>
        </is>
      </c>
      <c r="C10" s="6" t="inlineStr">
        <is>
          <t>已有持续销售基础</t>
        </is>
      </c>
      <c r="D10" s="6" t="inlineStr">
        <is>
          <t>具备做排名型广告的条件</t>
        </is>
      </c>
    </row>
    <row r="11" ht="38" customHeight="1">
      <c r="A11" s="4" t="inlineStr">
        <is>
          <t>小类排名</t>
        </is>
      </c>
      <c r="B11" s="4" t="inlineStr">
        <is>
          <t>Bike Cable Locks约第22名</t>
        </is>
      </c>
      <c r="C11" s="4" t="inlineStr">
        <is>
          <t>处于小类前列但未形成头部壁垒</t>
        </is>
      </c>
      <c r="D11" s="4" t="inlineStr">
        <is>
          <t>应争取核心词自然位置而非只维持广告曝光</t>
        </is>
      </c>
    </row>
    <row r="12" ht="38" customHeight="1">
      <c r="A12" s="6" t="inlineStr">
        <is>
          <t>评分与评分数</t>
        </is>
      </c>
      <c r="B12" s="6" t="inlineStr">
        <is>
          <t>4.3星 / 165个评分</t>
        </is>
      </c>
      <c r="C12" s="6" t="inlineStr">
        <is>
          <t>有信任基础，但在头部竞品前不占绝对优势</t>
        </is>
      </c>
      <c r="D12" s="6" t="inlineStr">
        <is>
          <t>高CPC大词需要谨慎，避免与高评分强品牌正面硬打</t>
        </is>
      </c>
    </row>
    <row r="13" ht="38" customHeight="1">
      <c r="A13" s="4" t="inlineStr">
        <is>
          <t>履约与变体</t>
        </is>
      </c>
      <c r="B13" s="4" t="inlineStr">
        <is>
          <t>FBA / 单变体</t>
        </is>
      </c>
      <c r="C13" s="4" t="inlineStr">
        <is>
          <t>履约条件正常，但缺少变体承接</t>
        </is>
      </c>
      <c r="D13" s="4" t="inlineStr">
        <is>
          <t>广告必须集中于当前单品的真实规格</t>
        </is>
      </c>
    </row>
    <row r="14" ht="38" customHeight="1">
      <c r="A14" s="6" t="inlineStr">
        <is>
          <t>页面内容</t>
        </is>
      </c>
      <c r="B14" s="6" t="inlineStr">
        <is>
          <t>已有A+和视频；商品信息完整度较高</t>
        </is>
      </c>
      <c r="C14" s="6" t="inlineStr">
        <is>
          <t>页面基础较好</t>
        </is>
      </c>
      <c r="D14" s="6" t="inlineStr">
        <is>
          <t>广告放量前重点强化6FT、12MM和E-bike场景表达</t>
        </is>
      </c>
    </row>
    <row r="15" ht="38" customHeight="1">
      <c r="A15" s="4" t="inlineStr">
        <is>
          <t>价格信号</t>
        </is>
      </c>
      <c r="B15" s="4" t="inlineStr">
        <is>
          <t>标价约$17.99；近期Buy Box信号约$14.99</t>
        </is>
      </c>
      <c r="C15" s="4" t="inlineStr">
        <is>
          <t>低客单价导致CPC容错空间较小</t>
        </is>
      </c>
      <c r="D15" s="4" t="inlineStr">
        <is>
          <t>必须用CPA和最高可承受CPC管理广告</t>
        </is>
      </c>
    </row>
    <row r="16" ht="38" customHeight="1">
      <c r="A16" s="6" t="inlineStr">
        <is>
          <t>流量词规模</t>
        </is>
      </c>
      <c r="B16" s="6" t="inlineStr">
        <is>
          <t>约229个流量词；203个自然词；67个广告词</t>
        </is>
      </c>
      <c r="C16" s="6" t="inlineStr">
        <is>
          <t>已有关键词覆盖，但有效流量集中</t>
        </is>
      </c>
      <c r="D16" s="6" t="inlineStr">
        <is>
          <t>不能继续只依赖单个大词</t>
        </is>
      </c>
    </row>
    <row r="17" ht="38" customHeight="1">
      <c r="A17" s="4" t="inlineStr">
        <is>
          <t>核心风险</t>
        </is>
      </c>
      <c r="B17" s="4" t="inlineStr">
        <is>
          <t>bike lock贡献约65.4%关键词流量，且该词广告流量占比较高</t>
        </is>
      </c>
      <c r="C17" s="4" t="inlineStr">
        <is>
          <t>主流量入口集中且广告依赖明显</t>
        </is>
      </c>
      <c r="D17" s="4" t="inlineStr">
        <is>
          <t>扩展bike cable lock、heavy duty、combination、E-bike等词群</t>
        </is>
      </c>
    </row>
    <row r="18" ht="38" customHeight="1"/>
    <row r="19" ht="38" customHeight="1">
      <c r="A19" s="7" t="inlineStr">
        <is>
          <t>核心结论</t>
        </is>
      </c>
    </row>
    <row r="20" ht="28" customHeight="1">
      <c r="A20" s="8" t="inlineStr">
        <is>
          <t>1. 保留 bike lock 作为战略排名词，但限制预算和CPC，不能继续吃掉绝大部分广告花费。</t>
        </is>
      </c>
    </row>
    <row r="21" ht="28" customHeight="1">
      <c r="A21" s="8" t="inlineStr">
        <is>
          <t>2. 用 bike cable lock、combination bike lock、heavy duty bike lock、electric bike lock 承担主要增长。</t>
        </is>
      </c>
    </row>
    <row r="22" ht="28" customHeight="1">
      <c r="A22" s="8" t="inlineStr">
        <is>
          <t>3. 用6FT、12MM、4-digit、self-coiling、E-bike/Scooter长尾词承担广告效率。</t>
        </is>
      </c>
    </row>
    <row r="23" ht="28" customHeight="1">
      <c r="A23" s="8" t="inlineStr">
        <is>
          <t>4. 目标是45天形成10–15个稳定成交词，并让流量从单一大词转向关键词集群。</t>
        </is>
      </c>
    </row>
  </sheetData>
  <autoFilter ref="A4:D17"/>
  <mergeCells count="7">
    <mergeCell ref="A1:J1"/>
    <mergeCell ref="A23:D23"/>
    <mergeCell ref="A22:D22"/>
    <mergeCell ref="A20:D20"/>
    <mergeCell ref="A21:D21"/>
    <mergeCell ref="A19:D19"/>
    <mergeCell ref="A2:J2"/>
  </mergeCells>
  <hyperlinks>
    <hyperlink xmlns:r="http://schemas.openxmlformats.org/officeDocument/2006/relationships" ref="B5" r:id="rId1"/>
  </hyperlink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5" customWidth="1" min="3" max="3"/>
    <col width="16" customWidth="1" min="4" max="4"/>
    <col width="14" customWidth="1" min="5" max="5"/>
    <col width="18" customWidth="1" min="6" max="6"/>
    <col width="40" customWidth="1" min="7" max="7"/>
    <col width="40" customWidth="1" min="8" max="8"/>
    <col width="38" customWidth="1" min="9" max="9"/>
  </cols>
  <sheetData>
    <row r="1" ht="30" customHeight="1">
      <c r="A1" s="1" t="inlineStr">
        <is>
          <t>关键词分层、匹配方式与初始竞价</t>
        </is>
      </c>
    </row>
    <row r="2" ht="28" customHeight="1">
      <c r="A2" s="2" t="inlineStr">
        <is>
          <t>竞价为启动区间，不是固定报价；上线后应按实际CPC、转化率、目标ACoS和自然排名调整。</t>
        </is>
      </c>
    </row>
    <row r="4" ht="28" customHeight="1">
      <c r="A4" s="3" t="inlineStr">
        <is>
          <t>优先级</t>
        </is>
      </c>
      <c r="B4" s="3" t="inlineStr">
        <is>
          <t>关键词</t>
        </is>
      </c>
      <c r="C4" s="3" t="inlineStr">
        <is>
          <t>中文意图</t>
        </is>
      </c>
      <c r="D4" s="3" t="inlineStr">
        <is>
          <t>广告角色</t>
        </is>
      </c>
      <c r="E4" s="3" t="inlineStr">
        <is>
          <t>匹配方式</t>
        </is>
      </c>
      <c r="F4" s="3" t="inlineStr">
        <is>
          <t>建议初始竞价($)</t>
        </is>
      </c>
      <c r="G4" s="3" t="inlineStr">
        <is>
          <t>当前信号/依据</t>
        </is>
      </c>
      <c r="H4" s="3" t="inlineStr">
        <is>
          <t>投放动作</t>
        </is>
      </c>
      <c r="I4" s="3" t="inlineStr">
        <is>
          <t>风险提示</t>
        </is>
      </c>
    </row>
    <row r="5" ht="38" customHeight="1">
      <c r="A5" s="4" t="inlineStr">
        <is>
          <t>S</t>
        </is>
      </c>
      <c r="B5" s="4" t="inlineStr">
        <is>
          <t>bike lock</t>
        </is>
      </c>
      <c r="C5" s="4" t="inlineStr">
        <is>
          <t>自行车锁大词</t>
        </is>
      </c>
      <c r="D5" s="4" t="inlineStr">
        <is>
          <t>战略排名</t>
        </is>
      </c>
      <c r="E5" s="4" t="inlineStr">
        <is>
          <t>精准</t>
        </is>
      </c>
      <c r="F5" s="4" t="inlineStr">
        <is>
          <t>0.75–0.90</t>
        </is>
      </c>
      <c r="G5" s="4" t="inlineStr">
        <is>
          <t>月搜索量约364,529；自然约60；广告约27；流量占比约65.4%</t>
        </is>
      </c>
      <c r="H5" s="4" t="inlineStr">
        <is>
          <t>独立活动、限预算、每周看自然排名</t>
        </is>
      </c>
      <c r="I5" s="4" t="inlineStr">
        <is>
          <t>CPC高；不适合单纯追求利润</t>
        </is>
      </c>
    </row>
    <row r="6" ht="38" customHeight="1">
      <c r="A6" s="6" t="inlineStr">
        <is>
          <t>S</t>
        </is>
      </c>
      <c r="B6" s="6" t="inlineStr">
        <is>
          <t>bike cable lock</t>
        </is>
      </c>
      <c r="C6" s="6" t="inlineStr">
        <is>
          <t>自行车钢缆锁</t>
        </is>
      </c>
      <c r="D6" s="6" t="inlineStr">
        <is>
          <t>核心增长</t>
        </is>
      </c>
      <c r="E6" s="6" t="inlineStr">
        <is>
          <t>精准</t>
        </is>
      </c>
      <c r="F6" s="6" t="inlineStr">
        <is>
          <t>0.70–0.85</t>
        </is>
      </c>
      <c r="G6" s="6" t="inlineStr">
        <is>
          <t>产品类型高度匹配</t>
        </is>
      </c>
      <c r="H6" s="6" t="inlineStr">
        <is>
          <t>重点推进，验证后测试首页首位</t>
        </is>
      </c>
      <c r="I6" s="6" t="inlineStr">
        <is>
          <t>需与泛bike lock分开管理</t>
        </is>
      </c>
    </row>
    <row r="7" ht="38" customHeight="1">
      <c r="A7" s="4" t="inlineStr">
        <is>
          <t>S</t>
        </is>
      </c>
      <c r="B7" s="4" t="inlineStr">
        <is>
          <t>bike lock cable</t>
        </is>
      </c>
      <c r="C7" s="4" t="inlineStr">
        <is>
          <t>自行车锁钢缆表达</t>
        </is>
      </c>
      <c r="D7" s="4" t="inlineStr">
        <is>
          <t>核心增长</t>
        </is>
      </c>
      <c r="E7" s="4" t="inlineStr">
        <is>
          <t>精准</t>
        </is>
      </c>
      <c r="F7" s="4" t="inlineStr">
        <is>
          <t>0.68–0.82</t>
        </is>
      </c>
      <c r="G7" s="4" t="inlineStr">
        <is>
          <t>月搜索量约19,041；自然约54</t>
        </is>
      </c>
      <c r="H7" s="4" t="inlineStr">
        <is>
          <t>保留并提升自然位置</t>
        </is>
      </c>
      <c r="I7" s="4" t="inlineStr">
        <is>
          <t>当前广告位置较弱，避免一次性大幅加价</t>
        </is>
      </c>
    </row>
    <row r="8" ht="38" customHeight="1">
      <c r="A8" s="6" t="inlineStr">
        <is>
          <t>S</t>
        </is>
      </c>
      <c r="B8" s="6" t="inlineStr">
        <is>
          <t>combination bike lock</t>
        </is>
      </c>
      <c r="C8" s="6" t="inlineStr">
        <is>
          <t>自行车密码锁</t>
        </is>
      </c>
      <c r="D8" s="6" t="inlineStr">
        <is>
          <t>核心增长</t>
        </is>
      </c>
      <c r="E8" s="6" t="inlineStr">
        <is>
          <t>精准</t>
        </is>
      </c>
      <c r="F8" s="6" t="inlineStr">
        <is>
          <t>0.70–0.88</t>
        </is>
      </c>
      <c r="G8" s="6" t="inlineStr">
        <is>
          <t>4位可重置密码高度匹配</t>
        </is>
      </c>
      <c r="H8" s="6" t="inlineStr">
        <is>
          <t>独立监测CVR和CPA</t>
        </is>
      </c>
      <c r="I8" s="6" t="inlineStr">
        <is>
          <t>注意与带钥匙需求区分</t>
        </is>
      </c>
    </row>
    <row r="9" ht="38" customHeight="1">
      <c r="A9" s="4" t="inlineStr">
        <is>
          <t>A</t>
        </is>
      </c>
      <c r="B9" s="4" t="inlineStr">
        <is>
          <t>bike lock combination</t>
        </is>
      </c>
      <c r="C9" s="4" t="inlineStr">
        <is>
          <t>自行车密码锁变体表达</t>
        </is>
      </c>
      <c r="D9" s="4" t="inlineStr">
        <is>
          <t>核心增长</t>
        </is>
      </c>
      <c r="E9" s="4" t="inlineStr">
        <is>
          <t>精准</t>
        </is>
      </c>
      <c r="F9" s="4" t="inlineStr">
        <is>
          <t>0.65–0.82</t>
        </is>
      </c>
      <c r="G9" s="4" t="inlineStr">
        <is>
          <t>与产品一致</t>
        </is>
      </c>
      <c r="H9" s="4" t="inlineStr">
        <is>
          <t>与combination bike lock分开收集数据</t>
        </is>
      </c>
      <c r="I9" s="4" t="inlineStr">
        <is>
          <t>避免重复预算失控</t>
        </is>
      </c>
    </row>
    <row r="10" ht="38" customHeight="1">
      <c r="A10" s="6" t="inlineStr">
        <is>
          <t>A</t>
        </is>
      </c>
      <c r="B10" s="6" t="inlineStr">
        <is>
          <t>bicycle cable lock</t>
        </is>
      </c>
      <c r="C10" s="6" t="inlineStr">
        <is>
          <t>自行车钢缆锁</t>
        </is>
      </c>
      <c r="D10" s="6" t="inlineStr">
        <is>
          <t>核心增长</t>
        </is>
      </c>
      <c r="E10" s="6" t="inlineStr">
        <is>
          <t>精准</t>
        </is>
      </c>
      <c r="F10" s="6" t="inlineStr">
        <is>
          <t>0.60–0.78</t>
        </is>
      </c>
      <c r="G10" s="6" t="inlineStr">
        <is>
          <t>产品类型匹配</t>
        </is>
      </c>
      <c r="H10" s="6" t="inlineStr">
        <is>
          <t>作为中等流量效率词</t>
        </is>
      </c>
      <c r="I10" s="6" t="inlineStr">
        <is>
          <t>观察搜索结果是否混入纯钢缆配件</t>
        </is>
      </c>
    </row>
    <row r="11" ht="38" customHeight="1">
      <c r="A11" s="4" t="inlineStr">
        <is>
          <t>A</t>
        </is>
      </c>
      <c r="B11" s="4" t="inlineStr">
        <is>
          <t>heavy duty bike lock</t>
        </is>
      </c>
      <c r="C11" s="4" t="inlineStr">
        <is>
          <t>重型自行车锁</t>
        </is>
      </c>
      <c r="D11" s="4" t="inlineStr">
        <is>
          <t>属性盈利</t>
        </is>
      </c>
      <c r="E11" s="4" t="inlineStr">
        <is>
          <t>精准</t>
        </is>
      </c>
      <c r="F11" s="4" t="inlineStr">
        <is>
          <t>0.70–0.90</t>
        </is>
      </c>
      <c r="G11" s="4" t="inlineStr">
        <is>
          <t>12MM钢缆支撑重型卖点</t>
        </is>
      </c>
      <c r="H11" s="4" t="inlineStr">
        <is>
          <t>重点投放并强化12MM图片承接</t>
        </is>
      </c>
      <c r="I11" s="4" t="inlineStr">
        <is>
          <t>不要表达绝对防盗</t>
        </is>
      </c>
    </row>
    <row r="12" ht="38" customHeight="1">
      <c r="A12" s="6" t="inlineStr">
        <is>
          <t>A</t>
        </is>
      </c>
      <c r="B12" s="6" t="inlineStr">
        <is>
          <t>bike locks heavy duty anti theft</t>
        </is>
      </c>
      <c r="C12" s="6" t="inlineStr">
        <is>
          <t>重型防盗自行车锁</t>
        </is>
      </c>
      <c r="D12" s="6" t="inlineStr">
        <is>
          <t>属性增长</t>
        </is>
      </c>
      <c r="E12" s="6" t="inlineStr">
        <is>
          <t>精准</t>
        </is>
      </c>
      <c r="F12" s="6" t="inlineStr">
        <is>
          <t>0.72–0.90</t>
        </is>
      </c>
      <c r="G12" s="6" t="inlineStr">
        <is>
          <t>月搜索量约47,596；自然约72；当前广告弱</t>
        </is>
      </c>
      <c r="H12" s="6" t="inlineStr">
        <is>
          <t>重点补投，争取自然前50</t>
        </is>
      </c>
      <c r="I12" s="6" t="inlineStr">
        <is>
          <t>搜索结果可能包含U-lock/chain lock</t>
        </is>
      </c>
    </row>
    <row r="13" ht="38" customHeight="1">
      <c r="A13" s="4" t="inlineStr">
        <is>
          <t>A</t>
        </is>
      </c>
      <c r="B13" s="4" t="inlineStr">
        <is>
          <t>heavy duty cable bike lock</t>
        </is>
      </c>
      <c r="C13" s="4" t="inlineStr">
        <is>
          <t>重型钢缆自行车锁</t>
        </is>
      </c>
      <c r="D13" s="4" t="inlineStr">
        <is>
          <t>属性盈利</t>
        </is>
      </c>
      <c r="E13" s="4" t="inlineStr">
        <is>
          <t>精准</t>
        </is>
      </c>
      <c r="F13" s="4" t="inlineStr">
        <is>
          <t>0.65–0.82</t>
        </is>
      </c>
      <c r="G13" s="4" t="inlineStr">
        <is>
          <t>商品结构高度匹配</t>
        </is>
      </c>
      <c r="H13" s="4" t="inlineStr">
        <is>
          <t>作为ACoS效率词培养</t>
        </is>
      </c>
      <c r="I13" s="4" t="inlineStr">
        <is>
          <t>流量可能较小</t>
        </is>
      </c>
    </row>
    <row r="14" ht="38" customHeight="1">
      <c r="A14" s="6" t="inlineStr">
        <is>
          <t>A</t>
        </is>
      </c>
      <c r="B14" s="6" t="inlineStr">
        <is>
          <t>electric bike lock</t>
        </is>
      </c>
      <c r="C14" s="6" t="inlineStr">
        <is>
          <t>电动自行车锁</t>
        </is>
      </c>
      <c r="D14" s="6" t="inlineStr">
        <is>
          <t>场景增长</t>
        </is>
      </c>
      <c r="E14" s="6" t="inlineStr">
        <is>
          <t>精准</t>
        </is>
      </c>
      <c r="F14" s="6" t="inlineStr">
        <is>
          <t>0.85–1.05</t>
        </is>
      </c>
      <c r="G14" s="6" t="inlineStr">
        <is>
          <t>月搜索量约4,192；自然约43</t>
        </is>
      </c>
      <c r="H14" s="6" t="inlineStr">
        <is>
          <t>独立活动，目标推进到25–35位</t>
        </is>
      </c>
      <c r="I14" s="6" t="inlineStr">
        <is>
          <t>E-bike用户可能偏好更高安全等级锁</t>
        </is>
      </c>
    </row>
    <row r="15" ht="38" customHeight="1">
      <c r="A15" s="4" t="inlineStr">
        <is>
          <t>A</t>
        </is>
      </c>
      <c r="B15" s="4" t="inlineStr">
        <is>
          <t>bike lock for electric bike</t>
        </is>
      </c>
      <c r="C15" s="4" t="inlineStr">
        <is>
          <t>电动自行车用锁</t>
        </is>
      </c>
      <c r="D15" s="4" t="inlineStr">
        <is>
          <t>场景盈利</t>
        </is>
      </c>
      <c r="E15" s="4" t="inlineStr">
        <is>
          <t>精准</t>
        </is>
      </c>
      <c r="F15" s="4" t="inlineStr">
        <is>
          <t>0.65–0.85</t>
        </is>
      </c>
      <c r="G15" s="4" t="inlineStr">
        <is>
          <t>场景高度相关</t>
        </is>
      </c>
      <c r="H15" s="4" t="inlineStr">
        <is>
          <t>与electric bike lock同活动不同广告组</t>
        </is>
      </c>
      <c r="I15" s="4" t="inlineStr">
        <is>
          <t>关注U-lock需求错配</t>
        </is>
      </c>
    </row>
    <row r="16" ht="38" customHeight="1">
      <c r="A16" s="6" t="inlineStr">
        <is>
          <t>A</t>
        </is>
      </c>
      <c r="B16" s="6" t="inlineStr">
        <is>
          <t>bike lock for ebike</t>
        </is>
      </c>
      <c r="C16" s="6" t="inlineStr">
        <is>
          <t>E-bike用锁</t>
        </is>
      </c>
      <c r="D16" s="6" t="inlineStr">
        <is>
          <t>场景盈利</t>
        </is>
      </c>
      <c r="E16" s="6" t="inlineStr">
        <is>
          <t>精准</t>
        </is>
      </c>
      <c r="F16" s="6" t="inlineStr">
        <is>
          <t>0.60–0.82</t>
        </is>
      </c>
      <c r="G16" s="6" t="inlineStr">
        <is>
          <t>页面有E-bike表达</t>
        </is>
      </c>
      <c r="H16" s="6" t="inlineStr">
        <is>
          <t>低中竞价测试</t>
        </is>
      </c>
      <c r="I16" s="6" t="inlineStr">
        <is>
          <t>注意拼写变体流量较分散</t>
        </is>
      </c>
    </row>
    <row r="17" ht="38" customHeight="1">
      <c r="A17" s="4" t="inlineStr">
        <is>
          <t>B</t>
        </is>
      </c>
      <c r="B17" s="4" t="inlineStr">
        <is>
          <t>ebike cable lock</t>
        </is>
      </c>
      <c r="C17" s="4" t="inlineStr">
        <is>
          <t>电动自行车钢缆锁</t>
        </is>
      </c>
      <c r="D17" s="4" t="inlineStr">
        <is>
          <t>场景盈利</t>
        </is>
      </c>
      <c r="E17" s="4" t="inlineStr">
        <is>
          <t>精准</t>
        </is>
      </c>
      <c r="F17" s="4" t="inlineStr">
        <is>
          <t>0.58–0.78</t>
        </is>
      </c>
      <c r="G17" s="4" t="inlineStr">
        <is>
          <t>产品结构和场景都匹配</t>
        </is>
      </c>
      <c r="H17" s="4" t="inlineStr">
        <is>
          <t>小预算长期保留</t>
        </is>
      </c>
      <c r="I17" s="4" t="inlineStr">
        <is>
          <t>搜索量可能较低</t>
        </is>
      </c>
    </row>
    <row r="18" ht="38" customHeight="1">
      <c r="A18" s="6" t="inlineStr">
        <is>
          <t>B</t>
        </is>
      </c>
      <c r="B18" s="6" t="inlineStr">
        <is>
          <t>electric scooter lock</t>
        </is>
      </c>
      <c r="C18" s="6" t="inlineStr">
        <is>
          <t>电动滑板车锁</t>
        </is>
      </c>
      <c r="D18" s="6" t="inlineStr">
        <is>
          <t>场景增长</t>
        </is>
      </c>
      <c r="E18" s="6" t="inlineStr">
        <is>
          <t>精准</t>
        </is>
      </c>
      <c r="F18" s="6" t="inlineStr">
        <is>
          <t>0.60–0.82</t>
        </is>
      </c>
      <c r="G18" s="6" t="inlineStr">
        <is>
          <t>页面功能支持Scooter</t>
        </is>
      </c>
      <c r="H18" s="6" t="inlineStr">
        <is>
          <t>独立监测搜索词</t>
        </is>
      </c>
      <c r="I18" s="6" t="inlineStr">
        <is>
          <t>防止跑入碟刹锁需求</t>
        </is>
      </c>
    </row>
    <row r="19" ht="38" customHeight="1">
      <c r="A19" s="4" t="inlineStr">
        <is>
          <t>B</t>
        </is>
      </c>
      <c r="B19" s="4" t="inlineStr">
        <is>
          <t>scooter cable lock</t>
        </is>
      </c>
      <c r="C19" s="4" t="inlineStr">
        <is>
          <t>滑板车钢缆锁</t>
        </is>
      </c>
      <c r="D19" s="4" t="inlineStr">
        <is>
          <t>场景盈利</t>
        </is>
      </c>
      <c r="E19" s="4" t="inlineStr">
        <is>
          <t>精准</t>
        </is>
      </c>
      <c r="F19" s="4" t="inlineStr">
        <is>
          <t>0.55–0.78</t>
        </is>
      </c>
      <c r="G19" s="4" t="inlineStr">
        <is>
          <t>产品可用场景</t>
        </is>
      </c>
      <c r="H19" s="4" t="inlineStr">
        <is>
          <t>重点观察CVR</t>
        </is>
      </c>
      <c r="I19" s="4" t="inlineStr">
        <is>
          <t>搜索量较小</t>
        </is>
      </c>
    </row>
    <row r="20" ht="38" customHeight="1">
      <c r="A20" s="6" t="inlineStr">
        <is>
          <t>B</t>
        </is>
      </c>
      <c r="B20" s="6" t="inlineStr">
        <is>
          <t>6 ft bike lock</t>
        </is>
      </c>
      <c r="C20" s="6" t="inlineStr">
        <is>
          <t>6英尺自行车锁</t>
        </is>
      </c>
      <c r="D20" s="6" t="inlineStr">
        <is>
          <t>差异化长尾</t>
        </is>
      </c>
      <c r="E20" s="6" t="inlineStr">
        <is>
          <t>精准</t>
        </is>
      </c>
      <c r="F20" s="6" t="inlineStr">
        <is>
          <t>0.55–0.72</t>
        </is>
      </c>
      <c r="G20" s="6" t="inlineStr">
        <is>
          <t>规格高度匹配</t>
        </is>
      </c>
      <c r="H20" s="6" t="inlineStr">
        <is>
          <t>低价精准投放</t>
        </is>
      </c>
      <c r="I20" s="6" t="inlineStr">
        <is>
          <t>现有购买率信号偏低，不宜高价</t>
        </is>
      </c>
    </row>
    <row r="21" ht="38" customHeight="1">
      <c r="A21" s="4" t="inlineStr">
        <is>
          <t>B</t>
        </is>
      </c>
      <c r="B21" s="4" t="inlineStr">
        <is>
          <t>6 foot bike lock</t>
        </is>
      </c>
      <c r="C21" s="4" t="inlineStr">
        <is>
          <t>6英尺自行车锁</t>
        </is>
      </c>
      <c r="D21" s="4" t="inlineStr">
        <is>
          <t>差异化长尾</t>
        </is>
      </c>
      <c r="E21" s="4" t="inlineStr">
        <is>
          <t>精准</t>
        </is>
      </c>
      <c r="F21" s="4" t="inlineStr">
        <is>
          <t>0.55–0.72</t>
        </is>
      </c>
      <c r="G21" s="4" t="inlineStr">
        <is>
          <t>规格高度匹配</t>
        </is>
      </c>
      <c r="H21" s="4" t="inlineStr">
        <is>
          <t>与6 ft分开观察</t>
        </is>
      </c>
      <c r="I21" s="4" t="inlineStr">
        <is>
          <t>流量有限</t>
        </is>
      </c>
    </row>
    <row r="22" ht="38" customHeight="1">
      <c r="A22" s="6" t="inlineStr">
        <is>
          <t>B</t>
        </is>
      </c>
      <c r="B22" s="6" t="inlineStr">
        <is>
          <t>bike lock 6ft</t>
        </is>
      </c>
      <c r="C22" s="6" t="inlineStr">
        <is>
          <t>6英尺自行车锁</t>
        </is>
      </c>
      <c r="D22" s="6" t="inlineStr">
        <is>
          <t>差异化长尾</t>
        </is>
      </c>
      <c r="E22" s="6" t="inlineStr">
        <is>
          <t>精准</t>
        </is>
      </c>
      <c r="F22" s="6" t="inlineStr">
        <is>
          <t>0.55–0.70</t>
        </is>
      </c>
      <c r="G22" s="6" t="inlineStr">
        <is>
          <t>自然约34、广告约6，但购买率偏低</t>
        </is>
      </c>
      <c r="H22" s="6" t="inlineStr">
        <is>
          <t>保持低竞价，验证真实转化</t>
        </is>
      </c>
      <c r="I22" s="6" t="inlineStr">
        <is>
          <t>不要因广告位置好而继续加价</t>
        </is>
      </c>
    </row>
    <row r="23" ht="38" customHeight="1">
      <c r="A23" s="4" t="inlineStr">
        <is>
          <t>B</t>
        </is>
      </c>
      <c r="B23" s="4" t="inlineStr">
        <is>
          <t>12mm bike lock</t>
        </is>
      </c>
      <c r="C23" s="4" t="inlineStr">
        <is>
          <t>12毫米自行车锁</t>
        </is>
      </c>
      <c r="D23" s="4" t="inlineStr">
        <is>
          <t>差异化长尾</t>
        </is>
      </c>
      <c r="E23" s="4" t="inlineStr">
        <is>
          <t>精准</t>
        </is>
      </c>
      <c r="F23" s="4" t="inlineStr">
        <is>
          <t>0.45–0.65</t>
        </is>
      </c>
      <c r="G23" s="4" t="inlineStr">
        <is>
          <t>12MM产品事实</t>
        </is>
      </c>
      <c r="H23" s="4" t="inlineStr">
        <is>
          <t>低价精准长期测试</t>
        </is>
      </c>
      <c r="I23" s="4" t="inlineStr">
        <is>
          <t>流量可能很小</t>
        </is>
      </c>
    </row>
    <row r="24" ht="38" customHeight="1">
      <c r="A24" s="6" t="inlineStr">
        <is>
          <t>B</t>
        </is>
      </c>
      <c r="B24" s="6" t="inlineStr">
        <is>
          <t>4 digit bike lock</t>
        </is>
      </c>
      <c r="C24" s="6" t="inlineStr">
        <is>
          <t>4位密码自行车锁</t>
        </is>
      </c>
      <c r="D24" s="6" t="inlineStr">
        <is>
          <t>差异化长尾</t>
        </is>
      </c>
      <c r="E24" s="6" t="inlineStr">
        <is>
          <t>精准</t>
        </is>
      </c>
      <c r="F24" s="6" t="inlineStr">
        <is>
          <t>0.55–0.72</t>
        </is>
      </c>
      <c r="G24" s="6" t="inlineStr">
        <is>
          <t>产品事实匹配</t>
        </is>
      </c>
      <c r="H24" s="6" t="inlineStr">
        <is>
          <t>可承担效率订单</t>
        </is>
      </c>
      <c r="I24" s="6" t="inlineStr">
        <is>
          <t>注意与普通挂锁搜索混杂</t>
        </is>
      </c>
    </row>
    <row r="25" ht="38" customHeight="1">
      <c r="A25" s="4" t="inlineStr">
        <is>
          <t>B</t>
        </is>
      </c>
      <c r="B25" s="4" t="inlineStr">
        <is>
          <t>resettable combination bike lock</t>
        </is>
      </c>
      <c r="C25" s="4" t="inlineStr">
        <is>
          <t>可重置密码自行车锁</t>
        </is>
      </c>
      <c r="D25" s="4" t="inlineStr">
        <is>
          <t>差异化长尾</t>
        </is>
      </c>
      <c r="E25" s="4" t="inlineStr">
        <is>
          <t>精准</t>
        </is>
      </c>
      <c r="F25" s="4" t="inlineStr">
        <is>
          <t>0.50–0.68</t>
        </is>
      </c>
      <c r="G25" s="4" t="inlineStr">
        <is>
          <t>产品事实匹配</t>
        </is>
      </c>
      <c r="H25" s="4" t="inlineStr">
        <is>
          <t>适合低CPC转化测试</t>
        </is>
      </c>
      <c r="I25" s="4" t="inlineStr">
        <is>
          <t>流量有限</t>
        </is>
      </c>
    </row>
    <row r="26" ht="38" customHeight="1">
      <c r="A26" s="6" t="inlineStr">
        <is>
          <t>B</t>
        </is>
      </c>
      <c r="B26" s="6" t="inlineStr">
        <is>
          <t>self coiling bike lock</t>
        </is>
      </c>
      <c r="C26" s="6" t="inlineStr">
        <is>
          <t>自卷式自行车锁</t>
        </is>
      </c>
      <c r="D26" s="6" t="inlineStr">
        <is>
          <t>差异化长尾</t>
        </is>
      </c>
      <c r="E26" s="6" t="inlineStr">
        <is>
          <t>精准</t>
        </is>
      </c>
      <c r="F26" s="6" t="inlineStr">
        <is>
          <t>0.45–0.62</t>
        </is>
      </c>
      <c r="G26" s="6" t="inlineStr">
        <is>
          <t>产品事实匹配</t>
        </is>
      </c>
      <c r="H26" s="6" t="inlineStr">
        <is>
          <t>小预算保留</t>
        </is>
      </c>
      <c r="I26" s="6" t="inlineStr">
        <is>
          <t>搜索需求较窄</t>
        </is>
      </c>
    </row>
    <row r="27" ht="38" customHeight="1">
      <c r="A27" s="4" t="inlineStr">
        <is>
          <t>C</t>
        </is>
      </c>
      <c r="B27" s="4" t="inlineStr">
        <is>
          <t>bike lock for multiple bikes</t>
        </is>
      </c>
      <c r="C27" s="4" t="inlineStr">
        <is>
          <t>多辆自行车用锁</t>
        </is>
      </c>
      <c r="D27" s="4" t="inlineStr">
        <is>
          <t>场景探索</t>
        </is>
      </c>
      <c r="E27" s="4" t="inlineStr">
        <is>
          <t>精准</t>
        </is>
      </c>
      <c r="F27" s="4" t="inlineStr">
        <is>
          <t>0.42–0.60</t>
        </is>
      </c>
      <c r="G27" s="4" t="inlineStr">
        <is>
          <t>6FT可锁多个物品</t>
        </is>
      </c>
      <c r="H27" s="4" t="inlineStr">
        <is>
          <t>独立低预算测试</t>
        </is>
      </c>
      <c r="I27" s="4" t="inlineStr">
        <is>
          <t>图片必须展示多物品场景</t>
        </is>
      </c>
    </row>
    <row r="28" ht="38" customHeight="1">
      <c r="A28" s="6" t="inlineStr">
        <is>
          <t>C</t>
        </is>
      </c>
      <c r="B28" s="6" t="inlineStr">
        <is>
          <t>long bike cable lock</t>
        </is>
      </c>
      <c r="C28" s="6" t="inlineStr">
        <is>
          <t>加长自行车钢缆锁</t>
        </is>
      </c>
      <c r="D28" s="6" t="inlineStr">
        <is>
          <t>场景探索</t>
        </is>
      </c>
      <c r="E28" s="6" t="inlineStr">
        <is>
          <t>词组/精准</t>
        </is>
      </c>
      <c r="F28" s="6" t="inlineStr">
        <is>
          <t>0.42–0.60</t>
        </is>
      </c>
      <c r="G28" s="6" t="inlineStr">
        <is>
          <t>6FT长度优势</t>
        </is>
      </c>
      <c r="H28" s="6" t="inlineStr">
        <is>
          <t>从词组中挖精准搜索词</t>
        </is>
      </c>
      <c r="I28" s="6" t="inlineStr">
        <is>
          <t>可能跑入15FT/30FT需求</t>
        </is>
      </c>
    </row>
    <row r="29" ht="38" customHeight="1">
      <c r="A29" s="4" t="inlineStr">
        <is>
          <t>C</t>
        </is>
      </c>
      <c r="B29" s="4" t="inlineStr">
        <is>
          <t>master lock bike cable</t>
        </is>
      </c>
      <c r="C29" s="4" t="inlineStr">
        <is>
          <t>Master Lock品牌词</t>
        </is>
      </c>
      <c r="D29" s="4" t="inlineStr">
        <is>
          <t>竞品拦截</t>
        </is>
      </c>
      <c r="E29" s="4" t="inlineStr">
        <is>
          <t>精准</t>
        </is>
      </c>
      <c r="F29" s="4" t="inlineStr">
        <is>
          <t>0.30–0.50</t>
        </is>
      </c>
      <c r="G29" s="4" t="inlineStr">
        <is>
          <t>头部品牌流量</t>
        </is>
      </c>
      <c r="H29" s="4" t="inlineStr">
        <is>
          <t>独立竞品活动</t>
        </is>
      </c>
      <c r="I29" s="4" t="inlineStr">
        <is>
          <t>品牌倾向强、转化成本可能高</t>
        </is>
      </c>
    </row>
    <row r="30" ht="38" customHeight="1">
      <c r="A30" s="6" t="inlineStr">
        <is>
          <t>C</t>
        </is>
      </c>
      <c r="B30" s="6" t="inlineStr">
        <is>
          <t>titanker bike lock</t>
        </is>
      </c>
      <c r="C30" s="6" t="inlineStr">
        <is>
          <t>Titanker品牌词</t>
        </is>
      </c>
      <c r="D30" s="6" t="inlineStr">
        <is>
          <t>竞品拦截</t>
        </is>
      </c>
      <c r="E30" s="6" t="inlineStr">
        <is>
          <t>精准</t>
        </is>
      </c>
      <c r="F30" s="6" t="inlineStr">
        <is>
          <t>0.30–0.50</t>
        </is>
      </c>
      <c r="G30" s="6" t="inlineStr">
        <is>
          <t>同类竞品流量</t>
        </is>
      </c>
      <c r="H30" s="6" t="inlineStr">
        <is>
          <t>独立竞品活动</t>
        </is>
      </c>
      <c r="I30" s="6" t="inlineStr">
        <is>
          <t>不要与普通词共享预算</t>
        </is>
      </c>
    </row>
  </sheetData>
  <autoFilter ref="A4:I30"/>
  <mergeCells count="2">
    <mergeCell ref="A1:J1"/>
    <mergeCell ref="A2:J2"/>
  </mergeCells>
  <conditionalFormatting sqref="A5:A30">
    <cfRule type="cellIs" priority="1" operator="equal" dxfId="0">
      <formula>"S"</formula>
    </cfRule>
  </conditionalFormatting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50" customWidth="1" min="5" max="5"/>
    <col width="20" customWidth="1" min="6" max="6"/>
    <col width="17" customWidth="1" min="7" max="7"/>
    <col width="13" customWidth="1" min="8" max="8"/>
    <col width="14" customWidth="1" min="9" max="9"/>
    <col width="42" customWidth="1" min="10" max="10"/>
  </cols>
  <sheetData>
    <row r="1" ht="30" customHeight="1">
      <c r="A1" s="1" t="inlineStr">
        <is>
          <t>建议广告活动架构</t>
        </is>
      </c>
    </row>
    <row r="2" ht="28" customHeight="1">
      <c r="A2" s="2" t="inlineStr">
        <is>
          <t>标准日预算按$60示例；若日预算低于$30，请优先保留核心精准、属性精准、E-bike精准、自动紧密、商品定向。</t>
        </is>
      </c>
    </row>
    <row r="4" ht="28" customHeight="1">
      <c r="A4" s="3" t="inlineStr">
        <is>
          <t>序号</t>
        </is>
      </c>
      <c r="B4" s="3" t="inlineStr">
        <is>
          <t>活动命名建议</t>
        </is>
      </c>
      <c r="C4" s="3" t="inlineStr">
        <is>
          <t>广告类型</t>
        </is>
      </c>
      <c r="D4" s="3" t="inlineStr">
        <is>
          <t>主要目标</t>
        </is>
      </c>
      <c r="E4" s="3" t="inlineStr">
        <is>
          <t>主要定向/关键词</t>
        </is>
      </c>
      <c r="F4" s="3" t="inlineStr">
        <is>
          <t>竞价策略</t>
        </is>
      </c>
      <c r="G4" s="3" t="inlineStr">
        <is>
          <t>初始竞价($)</t>
        </is>
      </c>
      <c r="H4" s="3" t="inlineStr">
        <is>
          <t>预算占比</t>
        </is>
      </c>
      <c r="I4" s="3" t="inlineStr">
        <is>
          <t>$60日预算</t>
        </is>
      </c>
      <c r="J4" s="3" t="inlineStr">
        <is>
          <t>关键管理规则</t>
        </is>
      </c>
    </row>
    <row r="5" ht="38" customHeight="1">
      <c r="A5" s="4" t="n">
        <v>1</v>
      </c>
      <c r="B5" s="4" t="inlineStr">
        <is>
          <t>SP-EX-Core-Ranking</t>
        </is>
      </c>
      <c r="C5" s="4" t="inlineStr">
        <is>
          <t>SP手动精准</t>
        </is>
      </c>
      <c r="D5" s="4" t="inlineStr">
        <is>
          <t>核心词排名</t>
        </is>
      </c>
      <c r="E5" s="4" t="inlineStr">
        <is>
          <t>bike lock / bike cable lock / bike lock cable / combination bike lock</t>
        </is>
      </c>
      <c r="F5" s="4" t="inlineStr">
        <is>
          <t>动态竞价-仅降低</t>
        </is>
      </c>
      <c r="G5" s="4" t="inlineStr">
        <is>
          <t>0.65–0.90</t>
        </is>
      </c>
      <c r="H5" s="9" t="n">
        <v>0.23</v>
      </c>
      <c r="I5" s="10">
        <f>H5*60</f>
        <v/>
      </c>
      <c r="J5" s="4" t="inlineStr">
        <is>
          <t>单独控制bike lock花费；每周看自然排名</t>
        </is>
      </c>
    </row>
    <row r="6" ht="38" customHeight="1">
      <c r="A6" s="6" t="n">
        <v>2</v>
      </c>
      <c r="B6" s="6" t="inlineStr">
        <is>
          <t>SP-EX-Attributes-Profit</t>
        </is>
      </c>
      <c r="C6" s="6" t="inlineStr">
        <is>
          <t>SP手动精准</t>
        </is>
      </c>
      <c r="D6" s="6" t="inlineStr">
        <is>
          <t>属性词盈利</t>
        </is>
      </c>
      <c r="E6" s="6" t="inlineStr">
        <is>
          <t>heavy duty / 6FT / 12MM / 4-digit / resettable / self-coiling</t>
        </is>
      </c>
      <c r="F6" s="6" t="inlineStr">
        <is>
          <t>动态竞价-仅降低</t>
        </is>
      </c>
      <c r="G6" s="6" t="inlineStr">
        <is>
          <t>0.45–0.90</t>
        </is>
      </c>
      <c r="H6" s="11" t="n">
        <v>0.2</v>
      </c>
      <c r="I6" s="12">
        <f>H6*60</f>
        <v/>
      </c>
      <c r="J6" s="6" t="inlineStr">
        <is>
          <t>优先培养低CPA词；差异化图片必须承接</t>
        </is>
      </c>
    </row>
    <row r="7" ht="38" customHeight="1">
      <c r="A7" s="4" t="n">
        <v>3</v>
      </c>
      <c r="B7" s="4" t="inlineStr">
        <is>
          <t>SP-EX-Ebike-Scooter</t>
        </is>
      </c>
      <c r="C7" s="4" t="inlineStr">
        <is>
          <t>SP手动精准</t>
        </is>
      </c>
      <c r="D7" s="4" t="inlineStr">
        <is>
          <t>场景增长</t>
        </is>
      </c>
      <c r="E7" s="4" t="inlineStr">
        <is>
          <t>electric bike / ebike / scooter相关词</t>
        </is>
      </c>
      <c r="F7" s="4" t="inlineStr">
        <is>
          <t>动态竞价-仅降低</t>
        </is>
      </c>
      <c r="G7" s="4" t="inlineStr">
        <is>
          <t>0.55–1.05</t>
        </is>
      </c>
      <c r="H7" s="9" t="n">
        <v>0.12</v>
      </c>
      <c r="I7" s="10">
        <f>H7*60</f>
        <v/>
      </c>
      <c r="J7" s="4" t="inlineStr">
        <is>
          <t>监测是否混入U-lock、碟刹锁等需求</t>
        </is>
      </c>
    </row>
    <row r="8" ht="38" customHeight="1">
      <c r="A8" s="6" t="n">
        <v>4</v>
      </c>
      <c r="B8" s="6" t="inlineStr">
        <is>
          <t>SP-PH-Root-Discovery</t>
        </is>
      </c>
      <c r="C8" s="6" t="inlineStr">
        <is>
          <t>SP手动词组</t>
        </is>
      </c>
      <c r="D8" s="6" t="inlineStr">
        <is>
          <t>扩展搜索表达</t>
        </is>
      </c>
      <c r="E8" s="6" t="inlineStr">
        <is>
          <t>bike cable lock / combination / heavy duty / electric bike</t>
        </is>
      </c>
      <c r="F8" s="6" t="inlineStr">
        <is>
          <t>动态竞价-仅降低</t>
        </is>
      </c>
      <c r="G8" s="6" t="inlineStr">
        <is>
          <t>0.50–0.68</t>
        </is>
      </c>
      <c r="H8" s="11" t="n">
        <v>0.08</v>
      </c>
      <c r="I8" s="12">
        <f>H8*60</f>
        <v/>
      </c>
      <c r="J8" s="6" t="inlineStr">
        <is>
          <t>每7天收割成交搜索词</t>
        </is>
      </c>
    </row>
    <row r="9" ht="38" customHeight="1">
      <c r="A9" s="4" t="n">
        <v>5</v>
      </c>
      <c r="B9" s="4" t="inlineStr">
        <is>
          <t>SP-BR-Discovery</t>
        </is>
      </c>
      <c r="C9" s="4" t="inlineStr">
        <is>
          <t>SP手动广泛</t>
        </is>
      </c>
      <c r="D9" s="4" t="inlineStr">
        <is>
          <t>探索新词根</t>
        </is>
      </c>
      <c r="E9" s="4" t="inlineStr">
        <is>
          <t>4个核心词根</t>
        </is>
      </c>
      <c r="F9" s="4" t="inlineStr">
        <is>
          <t>动态竞价-仅降低</t>
        </is>
      </c>
      <c r="G9" s="4" t="inlineStr">
        <is>
          <t>0.35–0.55</t>
        </is>
      </c>
      <c r="H9" s="9" t="n">
        <v>0.05</v>
      </c>
      <c r="I9" s="10">
        <f>H9*60</f>
        <v/>
      </c>
      <c r="J9" s="4" t="inlineStr">
        <is>
          <t>只负责找词，不承担主销售</t>
        </is>
      </c>
    </row>
    <row r="10" ht="38" customHeight="1">
      <c r="A10" s="6" t="n">
        <v>6</v>
      </c>
      <c r="B10" s="6" t="inlineStr">
        <is>
          <t>SP-AUTO-Close</t>
        </is>
      </c>
      <c r="C10" s="6" t="inlineStr">
        <is>
          <t>SP自动紧密</t>
        </is>
      </c>
      <c r="D10" s="6" t="inlineStr">
        <is>
          <t>高相关搜索词探索</t>
        </is>
      </c>
      <c r="E10" s="6" t="inlineStr">
        <is>
          <t>紧密匹配</t>
        </is>
      </c>
      <c r="F10" s="6" t="inlineStr">
        <is>
          <t>动态竞价-仅降低</t>
        </is>
      </c>
      <c r="G10" s="6" t="inlineStr">
        <is>
          <t>0.60–0.78</t>
        </is>
      </c>
      <c r="H10" s="11" t="n">
        <v>0.1</v>
      </c>
      <c r="I10" s="12">
        <f>H10*60</f>
        <v/>
      </c>
      <c r="J10" s="6" t="inlineStr">
        <is>
          <t>优先保留高相关成交词</t>
        </is>
      </c>
    </row>
    <row r="11" ht="38" customHeight="1">
      <c r="A11" s="4" t="n">
        <v>7</v>
      </c>
      <c r="B11" s="4" t="inlineStr">
        <is>
          <t>SP-AUTO-Loose</t>
        </is>
      </c>
      <c r="C11" s="4" t="inlineStr">
        <is>
          <t>SP自动宽泛</t>
        </is>
      </c>
      <c r="D11" s="4" t="inlineStr">
        <is>
          <t>相邻需求探索</t>
        </is>
      </c>
      <c r="E11" s="4" t="inlineStr">
        <is>
          <t>宽泛匹配</t>
        </is>
      </c>
      <c r="F11" s="4" t="inlineStr">
        <is>
          <t>动态竞价-仅降低</t>
        </is>
      </c>
      <c r="G11" s="4" t="inlineStr">
        <is>
          <t>0.35–0.50</t>
        </is>
      </c>
      <c r="H11" s="9" t="n">
        <v>0.05</v>
      </c>
      <c r="I11" s="10">
        <f>H11*60</f>
        <v/>
      </c>
      <c r="J11" s="4" t="inlineStr">
        <is>
          <t>严格否定不相关流量</t>
        </is>
      </c>
    </row>
    <row r="12" ht="38" customHeight="1">
      <c r="A12" s="6" t="n">
        <v>8</v>
      </c>
      <c r="B12" s="6" t="inlineStr">
        <is>
          <t>SP-AUTO-Substitutes</t>
        </is>
      </c>
      <c r="C12" s="6" t="inlineStr">
        <is>
          <t>SP自动替代</t>
        </is>
      </c>
      <c r="D12" s="6" t="inlineStr">
        <is>
          <t>竞品详情页发现</t>
        </is>
      </c>
      <c r="E12" s="6" t="inlineStr">
        <is>
          <t>替代商品</t>
        </is>
      </c>
      <c r="F12" s="6" t="inlineStr">
        <is>
          <t>动态竞价-仅降低</t>
        </is>
      </c>
      <c r="G12" s="6" t="inlineStr">
        <is>
          <t>0.45–0.62</t>
        </is>
      </c>
      <c r="H12" s="11" t="n">
        <v>0.07000000000000001</v>
      </c>
      <c r="I12" s="12">
        <f>H12*60</f>
        <v/>
      </c>
      <c r="J12" s="6" t="inlineStr">
        <is>
          <t>找出可转入手动商品定向的ASIN</t>
        </is>
      </c>
    </row>
    <row r="13" ht="38" customHeight="1">
      <c r="A13" s="4" t="n">
        <v>9</v>
      </c>
      <c r="B13" s="4" t="inlineStr">
        <is>
          <t>SP-PAT-Competitors</t>
        </is>
      </c>
      <c r="C13" s="4" t="inlineStr">
        <is>
          <t>SP商品定向</t>
        </is>
      </c>
      <c r="D13" s="4" t="inlineStr">
        <is>
          <t>竞品详情页拦截</t>
        </is>
      </c>
      <c r="E13" s="4" t="inlineStr">
        <is>
          <t>同价位、短长度、高价或弱评分竞品</t>
        </is>
      </c>
      <c r="F13" s="4" t="inlineStr">
        <is>
          <t>动态竞价-仅降低</t>
        </is>
      </c>
      <c r="G13" s="4" t="inlineStr">
        <is>
          <t>0.30–0.70</t>
        </is>
      </c>
      <c r="H13" s="9" t="n">
        <v>0.1</v>
      </c>
      <c r="I13" s="10">
        <f>H13*60</f>
        <v/>
      </c>
      <c r="J13" s="4" t="inlineStr">
        <is>
          <t>头部品牌低价测试；直接竞品优先</t>
        </is>
      </c>
    </row>
    <row r="14" ht="38" customHeight="1">
      <c r="G14" s="13" t="inlineStr">
        <is>
          <t>合计</t>
        </is>
      </c>
      <c r="H14" s="14">
        <f>SUM(H5:H13)</f>
        <v/>
      </c>
      <c r="I14" s="15">
        <f>SUM(I5:I13)</f>
        <v/>
      </c>
    </row>
  </sheetData>
  <autoFilter ref="A4:J13"/>
  <mergeCells count="2">
    <mergeCell ref="A1:J1"/>
    <mergeCell ref="A2:J2"/>
  </mergeCell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  <col width="60" customWidth="1" min="4" max="4"/>
    <col width="55" customWidth="1" min="5" max="5"/>
  </cols>
  <sheetData>
    <row r="1" ht="30" customHeight="1">
      <c r="A1" s="1" t="inlineStr">
        <is>
          <t>预算、目标CPA与最高可承受CPC</t>
        </is>
      </c>
    </row>
    <row r="2" ht="28" customHeight="1">
      <c r="A2" s="2" t="inlineStr">
        <is>
          <t>黄色单元格为可编辑假设；修改售价、目标ACoS、转化率后，可自动计算目标CPA和最高可承受CPC。</t>
        </is>
      </c>
    </row>
    <row r="4" ht="28" customHeight="1">
      <c r="A4" s="3" t="inlineStr">
        <is>
          <t>参数</t>
        </is>
      </c>
      <c r="B4" s="3" t="inlineStr">
        <is>
          <t>输入值</t>
        </is>
      </c>
      <c r="C4" s="3" t="inlineStr">
        <is>
          <t>说明</t>
        </is>
      </c>
    </row>
    <row r="5" ht="38" customHeight="1">
      <c r="A5" s="4" t="inlineStr">
        <is>
          <t>实际成交价($)</t>
        </is>
      </c>
      <c r="B5" s="16" t="n">
        <v>14.99</v>
      </c>
      <c r="C5" s="4" t="inlineStr">
        <is>
          <t>建议按实际Buy Box成交价而非划线价计算</t>
        </is>
      </c>
    </row>
    <row r="6" ht="38" customHeight="1">
      <c r="A6" s="6" t="inlineStr">
        <is>
          <t>目标ACoS</t>
        </is>
      </c>
      <c r="B6" s="17" t="n">
        <v>0.3</v>
      </c>
      <c r="C6" s="6" t="inlineStr">
        <is>
          <t>需要结合商品成本、FBA费用、头程和目标利润修正</t>
        </is>
      </c>
    </row>
    <row r="7" ht="38" customHeight="1">
      <c r="A7" s="4" t="inlineStr">
        <is>
          <t>预期广告CVR</t>
        </is>
      </c>
      <c r="B7" s="17" t="n">
        <v>0.15</v>
      </c>
      <c r="C7" s="4" t="inlineStr">
        <is>
          <t>示例为15%；请用卖家后台近30天真实数据替换</t>
        </is>
      </c>
    </row>
    <row r="8" ht="38" customHeight="1">
      <c r="A8" s="6" t="inlineStr">
        <is>
          <t>目标CPA($)</t>
        </is>
      </c>
      <c r="B8" s="12">
        <f>B5*B6</f>
        <v/>
      </c>
      <c r="C8" s="6" t="inlineStr">
        <is>
          <t>每获得1个广告订单可承受的广告费</t>
        </is>
      </c>
    </row>
    <row r="9" ht="38" customHeight="1">
      <c r="A9" s="4" t="inlineStr">
        <is>
          <t>最高可承受CPC($)</t>
        </is>
      </c>
      <c r="B9" s="18">
        <f>B5*B6*B7</f>
        <v/>
      </c>
      <c r="C9" s="4" t="inlineStr">
        <is>
          <t>实际CPC长期高于此值时，需要更高CVR或接受更高ACoS</t>
        </is>
      </c>
    </row>
    <row r="10" ht="38" customHeight="1">
      <c r="A10" s="6" t="inlineStr">
        <is>
          <t>目标广告订单/天</t>
        </is>
      </c>
      <c r="B10" s="12" t="n">
        <v>5</v>
      </c>
      <c r="C10" s="6" t="inlineStr">
        <is>
          <t>可编辑</t>
        </is>
      </c>
    </row>
    <row r="11" ht="38" customHeight="1">
      <c r="A11" s="4" t="inlineStr">
        <is>
          <t>理论日广告预算($)</t>
        </is>
      </c>
      <c r="B11" s="10">
        <f>B8*B9</f>
        <v/>
      </c>
      <c r="C11" s="4" t="inlineStr">
        <is>
          <t>目标CPA×目标广告订单数</t>
        </is>
      </c>
    </row>
    <row r="12" ht="38" customHeight="1"/>
    <row r="13" ht="38" customHeight="1"/>
    <row r="14" ht="38" customHeight="1">
      <c r="A14" s="19" t="inlineStr">
        <is>
          <t>CPC经济性测试矩阵</t>
        </is>
      </c>
    </row>
    <row r="15" ht="28" customHeight="1">
      <c r="A15" s="20" t="inlineStr">
        <is>
          <t>实际CPC($)</t>
        </is>
      </c>
      <c r="B15" s="20" t="inlineStr">
        <is>
          <t>目标CPA下最多点击数</t>
        </is>
      </c>
      <c r="C15" s="20" t="inlineStr">
        <is>
          <t>达到目标ACoS所需CVR</t>
        </is>
      </c>
      <c r="D15" s="20" t="inlineStr">
        <is>
          <t>判断</t>
        </is>
      </c>
    </row>
    <row r="16" ht="38" customHeight="1">
      <c r="A16" s="12" t="n">
        <v>0.55</v>
      </c>
      <c r="B16" s="21">
        <f>$B$8/A16</f>
        <v/>
      </c>
      <c r="C16" s="22">
        <f>A16/($B$5*$B$6)</f>
        <v/>
      </c>
      <c r="D16" s="6">
        <f>IF(C16&lt;=$B$7,"可承受","需要更高转化率/降低CPC")</f>
        <v/>
      </c>
    </row>
    <row r="17" ht="38" customHeight="1">
      <c r="A17" s="10" t="n">
        <v>0.7</v>
      </c>
      <c r="B17" s="23">
        <f>$B$8/A17</f>
        <v/>
      </c>
      <c r="C17" s="24">
        <f>A17/($B$5*$B$6)</f>
        <v/>
      </c>
      <c r="D17" s="4">
        <f>IF(C17&lt;=$B$7,"可承受","需要更高转化率/降低CPC")</f>
        <v/>
      </c>
    </row>
    <row r="18" ht="38" customHeight="1">
      <c r="A18" s="12" t="n">
        <v>0.85</v>
      </c>
      <c r="B18" s="21">
        <f>$B$8/A18</f>
        <v/>
      </c>
      <c r="C18" s="22">
        <f>A18/($B$5*$B$6)</f>
        <v/>
      </c>
      <c r="D18" s="6">
        <f>IF(C18&lt;=$B$7,"可承受","需要更高转化率/降低CPC")</f>
        <v/>
      </c>
    </row>
    <row r="19" ht="38" customHeight="1">
      <c r="A19" s="10" t="n">
        <v>1.07</v>
      </c>
      <c r="B19" s="23">
        <f>$B$8/A19</f>
        <v/>
      </c>
      <c r="C19" s="24">
        <f>A19/($B$5*$B$6)</f>
        <v/>
      </c>
      <c r="D19" s="4">
        <f>IF(C19&lt;=$B$7,"可承受","需要更高转化率/降低CPC")</f>
        <v/>
      </c>
    </row>
    <row r="20" ht="38" customHeight="1">
      <c r="A20" s="12" t="n">
        <v>1.25</v>
      </c>
      <c r="B20" s="21">
        <f>$B$8/A20</f>
        <v/>
      </c>
      <c r="C20" s="22">
        <f>A20/($B$5*$B$6)</f>
        <v/>
      </c>
      <c r="D20" s="6">
        <f>IF(C20&lt;=$B$7,"可承受","需要更高转化率/降低CPC")</f>
        <v/>
      </c>
    </row>
    <row r="21" ht="38" customHeight="1"/>
    <row r="22" ht="38" customHeight="1"/>
    <row r="23" ht="38" customHeight="1">
      <c r="A23" s="25" t="inlineStr">
        <is>
          <t>预算档位建议</t>
        </is>
      </c>
    </row>
    <row r="24" ht="28" customHeight="1">
      <c r="A24" s="26" t="inlineStr">
        <is>
          <t>档位</t>
        </is>
      </c>
      <c r="B24" s="26" t="inlineStr">
        <is>
          <t>日预算</t>
        </is>
      </c>
      <c r="C24" s="26" t="inlineStr">
        <is>
          <t>适用条件</t>
        </is>
      </c>
      <c r="D24" s="26" t="inlineStr">
        <is>
          <t>保留活动</t>
        </is>
      </c>
      <c r="E24" s="26" t="inlineStr">
        <is>
          <t>暂缓活动</t>
        </is>
      </c>
    </row>
    <row r="25" ht="38" customHeight="1">
      <c r="A25" s="4" t="inlineStr">
        <is>
          <t>保守测试型</t>
        </is>
      </c>
      <c r="B25" s="4" t="inlineStr">
        <is>
          <t>$30/天</t>
        </is>
      </c>
      <c r="C25" s="4" t="inlineStr">
        <is>
          <t>预算有限或真实利润尚未核算</t>
        </is>
      </c>
      <c r="D25" s="4" t="inlineStr">
        <is>
          <t>核心精准、属性精准、E-bike精准、自动紧密、商品定向</t>
        </is>
      </c>
      <c r="E25" s="4" t="inlineStr">
        <is>
          <t>广泛、自动宽泛、品牌词、SB视频</t>
        </is>
      </c>
    </row>
    <row r="26" ht="38" customHeight="1">
      <c r="A26" s="6" t="inlineStr">
        <is>
          <t>标准推进型</t>
        </is>
      </c>
      <c r="B26" s="6" t="inlineStr">
        <is>
          <t>$50–$70/天</t>
        </is>
      </c>
      <c r="C26" s="6" t="inlineStr">
        <is>
          <t>当前ASIN更适合；已有165评分和小类排名基础</t>
        </is>
      </c>
      <c r="D26" s="6" t="inlineStr">
        <is>
          <t>完整SP结构</t>
        </is>
      </c>
      <c r="E26" s="6" t="inlineStr">
        <is>
          <t>SB视频可在两周后追加</t>
        </is>
      </c>
    </row>
    <row r="27" ht="38" customHeight="1">
      <c r="A27" s="4" t="inlineStr">
        <is>
          <t>排名推进型</t>
        </is>
      </c>
      <c r="B27" s="4" t="inlineStr">
        <is>
          <t>$100+/天</t>
        </is>
      </c>
      <c r="C27" s="4" t="inlineStr">
        <is>
          <t>CVR≥15%、库存≥45天、核心词稳定出单且盈亏模型清楚</t>
        </is>
      </c>
      <c r="D27" s="4" t="inlineStr">
        <is>
          <t>完整结构并增加排名预算</t>
        </is>
      </c>
      <c r="E27" s="4" t="inlineStr">
        <is>
          <t>若自然排名不升，立即停止无效放大</t>
        </is>
      </c>
    </row>
  </sheetData>
  <mergeCells count="2">
    <mergeCell ref="A1:J1"/>
    <mergeCell ref="A2:J2"/>
  </mergeCells>
  <conditionalFormatting sqref="C16:C20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65" customWidth="1" min="4" max="4"/>
    <col width="36" customWidth="1" min="5" max="5"/>
    <col width="50" customWidth="1" min="6" max="6"/>
    <col width="48" customWidth="1" min="7" max="7"/>
  </cols>
  <sheetData>
    <row r="1" ht="30" customHeight="1">
      <c r="A1" s="1" t="inlineStr">
        <is>
          <t>45天广告推进路线图</t>
        </is>
      </c>
    </row>
    <row r="2" ht="28" customHeight="1">
      <c r="A2" s="2" t="inlineStr">
        <is>
          <t>执行原则：一次只做可归因的调整；重要改动后至少观察3–7天。</t>
        </is>
      </c>
    </row>
    <row r="4" ht="28" customHeight="1">
      <c r="A4" s="3" t="inlineStr">
        <is>
          <t>阶段</t>
        </is>
      </c>
      <c r="B4" s="3" t="inlineStr">
        <is>
          <t>时间</t>
        </is>
      </c>
      <c r="C4" s="3" t="inlineStr">
        <is>
          <t>核心目标</t>
        </is>
      </c>
      <c r="D4" s="3" t="inlineStr">
        <is>
          <t>具体动作</t>
        </is>
      </c>
      <c r="E4" s="3" t="inlineStr">
        <is>
          <t>关键产出</t>
        </is>
      </c>
      <c r="F4" s="3" t="inlineStr">
        <is>
          <t>阶段验收标准</t>
        </is>
      </c>
      <c r="G4" s="3" t="inlineStr">
        <is>
          <t>禁止事项</t>
        </is>
      </c>
    </row>
    <row r="5" ht="38" customHeight="1">
      <c r="A5" s="4" t="inlineStr">
        <is>
          <t>准备期</t>
        </is>
      </c>
      <c r="B5" s="4" t="inlineStr">
        <is>
          <t>第0–3天</t>
        </is>
      </c>
      <c r="C5" s="4" t="inlineStr">
        <is>
          <t>建立干净基线</t>
        </is>
      </c>
      <c r="D5" s="4" t="inlineStr">
        <is>
          <t>核算盈亏ACoS；确认实际成交价；强化标题6FT/12MM；检查辅图；导出60天搜索词；建立否定词库；给旧活动分类</t>
        </is>
      </c>
      <c r="E5" s="4" t="inlineStr">
        <is>
          <t>利润模型、关键词池、否定词库、活动迁移表</t>
        </is>
      </c>
      <c r="F5" s="4" t="inlineStr">
        <is>
          <t>目标CPA和最高CPC明确；新旧活动不会互相抢预算</t>
        </is>
      </c>
      <c r="G5" s="4" t="inlineStr">
        <is>
          <t>同一天同时改主图、标题、价格、Coupon和所有竞价</t>
        </is>
      </c>
    </row>
    <row r="6" ht="38" customHeight="1">
      <c r="A6" s="6" t="inlineStr">
        <is>
          <t>启动期</t>
        </is>
      </c>
      <c r="B6" s="6" t="inlineStr">
        <is>
          <t>第1–7天</t>
        </is>
      </c>
      <c r="C6" s="6" t="inlineStr">
        <is>
          <t>让各关键词集群独立获得数据</t>
        </is>
      </c>
      <c r="D6" s="6" t="inlineStr">
        <is>
          <t>启动核心精准、属性精准、E-bike精准、词组、自动和商品定向；核心词保守出价；每日检查异常</t>
        </is>
      </c>
      <c r="E6" s="6" t="inlineStr">
        <is>
          <t>各集群的曝光、CTR、CPC和首批订单</t>
        </is>
      </c>
      <c r="F6" s="6" t="inlineStr">
        <is>
          <t>至少识别3–5个高点击或有订单搜索词；无明显无关流量持续烧钱</t>
        </is>
      </c>
      <c r="G6" s="6" t="inlineStr">
        <is>
          <t>因1–2次点击频繁调价</t>
        </is>
      </c>
    </row>
    <row r="7" ht="38" customHeight="1">
      <c r="A7" s="4" t="inlineStr">
        <is>
          <t>收词期</t>
        </is>
      </c>
      <c r="B7" s="4" t="inlineStr">
        <is>
          <t>第8–14天</t>
        </is>
      </c>
      <c r="C7" s="4" t="inlineStr">
        <is>
          <t>提取成交词并第一次控损</t>
        </is>
      </c>
      <c r="D7" s="4" t="inlineStr">
        <is>
          <t>成交搜索词转精准；明显错词否定；达到1.5倍目标CPA无订单的普通词降价；达到2倍目标CPA无订单则暂停/否定</t>
        </is>
      </c>
      <c r="E7" s="4" t="inlineStr">
        <is>
          <t>首批精准成交词、浪费词清单</t>
        </is>
      </c>
      <c r="F7" s="4" t="inlineStr">
        <is>
          <t>形成5–8个重点观察词；预算开始向有效词集中</t>
        </is>
      </c>
      <c r="G7" s="4" t="inlineStr">
        <is>
          <t>把所有高ACoS词直接否定，不看自然排名和相关性</t>
        </is>
      </c>
    </row>
    <row r="8" ht="38" customHeight="1">
      <c r="A8" s="6" t="inlineStr">
        <is>
          <t>分层期</t>
        </is>
      </c>
      <c r="B8" s="6" t="inlineStr">
        <is>
          <t>第15–30天</t>
        </is>
      </c>
      <c r="C8" s="6" t="inlineStr">
        <is>
          <t>形成盈利/排名/潜力/浪费四类词</t>
        </is>
      </c>
      <c r="D8" s="6" t="inlineStr">
        <is>
          <t>盈利词加价5–10%；排名词独立预算；潜力词延长观察；浪费词暂停；开始测试合适的首页首位</t>
        </is>
      </c>
      <c r="E8" s="6" t="inlineStr">
        <is>
          <t>关键词分层表、活动预算重分配</t>
        </is>
      </c>
      <c r="F8" s="6" t="inlineStr">
        <is>
          <t>形成8–12个稳定成交词；单个词花费失控现象减少</t>
        </is>
      </c>
      <c r="G8" s="6" t="inlineStr">
        <is>
          <t>用同一ACoS标准评价盈利词与排名词</t>
        </is>
      </c>
    </row>
    <row r="9" ht="38" customHeight="1">
      <c r="A9" s="4" t="inlineStr">
        <is>
          <t>排名期</t>
        </is>
      </c>
      <c r="B9" s="4" t="inlineStr">
        <is>
          <t>第31–45天</t>
        </is>
      </c>
      <c r="C9" s="4" t="inlineStr">
        <is>
          <t>推动核心自然位置和扩展词贡献</t>
        </is>
      </c>
      <c r="D9" s="4" t="inlineStr">
        <is>
          <t>重点推进bike cable lock、heavy duty、electric bike lock；控制bike lock总花费；验证商品定向；准备SB视频</t>
        </is>
      </c>
      <c r="E9" s="4" t="inlineStr">
        <is>
          <t>自然排名周报、扩词清单、商品定向胜出ASIN</t>
        </is>
      </c>
      <c r="F9" s="4" t="inlineStr">
        <is>
          <t>10–15个稳定成交词；其他词群占比提升；核心自然位置有进步</t>
        </is>
      </c>
      <c r="G9" s="4" t="inlineStr">
        <is>
          <t>为冲大词排名无限提高竞价</t>
        </is>
      </c>
    </row>
    <row r="10" ht="38" customHeight="1"/>
    <row r="11" ht="38" customHeight="1"/>
    <row r="12" ht="38" customHeight="1">
      <c r="A12" s="25" t="inlineStr">
        <is>
          <t>45–60天自然排名管理目标</t>
        </is>
      </c>
    </row>
    <row r="13" ht="28" customHeight="1">
      <c r="A13" s="26" t="inlineStr">
        <is>
          <t>关键词</t>
        </is>
      </c>
      <c r="B13" s="26" t="inlineStr">
        <is>
          <t>当前自然位置信号</t>
        </is>
      </c>
      <c r="C13" s="26" t="inlineStr">
        <is>
          <t>45–60天管理目标</t>
        </is>
      </c>
      <c r="D13" s="26" t="inlineStr">
        <is>
          <t>优先级</t>
        </is>
      </c>
      <c r="E13" s="26" t="inlineStr">
        <is>
          <t>备注</t>
        </is>
      </c>
    </row>
    <row r="14" ht="38" customHeight="1">
      <c r="A14" s="6" t="inlineStr">
        <is>
          <t>bike lock</t>
        </is>
      </c>
      <c r="B14" s="6" t="inlineStr">
        <is>
          <t>约60</t>
        </is>
      </c>
      <c r="C14" s="6" t="inlineStr">
        <is>
          <t>40–50</t>
        </is>
      </c>
      <c r="D14" s="6" t="inlineStr">
        <is>
          <t>战略</t>
        </is>
      </c>
      <c r="E14" s="6" t="inlineStr">
        <is>
          <t>竞争最强，不为进入前30无限加价</t>
        </is>
      </c>
    </row>
    <row r="15" ht="38" customHeight="1">
      <c r="A15" s="4" t="inlineStr">
        <is>
          <t>bike lock cable</t>
        </is>
      </c>
      <c r="B15" s="4" t="inlineStr">
        <is>
          <t>约54</t>
        </is>
      </c>
      <c r="C15" s="4" t="inlineStr">
        <is>
          <t>30–40</t>
        </is>
      </c>
      <c r="D15" s="4" t="inlineStr">
        <is>
          <t>核心增长</t>
        </is>
      </c>
      <c r="E15" s="4" t="inlineStr">
        <is>
          <t>相关性高，优先于单纯冲bike lock</t>
        </is>
      </c>
    </row>
    <row r="16" ht="38" customHeight="1">
      <c r="A16" s="6" t="inlineStr">
        <is>
          <t>bike locks heavy duty anti theft</t>
        </is>
      </c>
      <c r="B16" s="6" t="inlineStr">
        <is>
          <t>约72</t>
        </is>
      </c>
      <c r="C16" s="6" t="inlineStr">
        <is>
          <t>40–55</t>
        </is>
      </c>
      <c r="D16" s="6" t="inlineStr">
        <is>
          <t>属性增长</t>
        </is>
      </c>
      <c r="E16" s="6" t="inlineStr">
        <is>
          <t>必须用12MM和抗切割结构图片承接</t>
        </is>
      </c>
    </row>
    <row r="17" ht="38" customHeight="1">
      <c r="A17" s="4" t="inlineStr">
        <is>
          <t>electric bike lock</t>
        </is>
      </c>
      <c r="B17" s="4" t="inlineStr">
        <is>
          <t>约43</t>
        </is>
      </c>
      <c r="C17" s="4" t="inlineStr">
        <is>
          <t>25–35</t>
        </is>
      </c>
      <c r="D17" s="4" t="inlineStr">
        <is>
          <t>场景增长</t>
        </is>
      </c>
      <c r="E17" s="4" t="inlineStr">
        <is>
          <t>监控U-lock/chain lock意图错配</t>
        </is>
      </c>
    </row>
    <row r="18" ht="38" customHeight="1">
      <c r="A18" s="6" t="inlineStr">
        <is>
          <t>6FT相关词</t>
        </is>
      </c>
      <c r="B18" s="6" t="inlineStr">
        <is>
          <t>约34或不同位置</t>
        </is>
      </c>
      <c r="C18" s="6" t="inlineStr">
        <is>
          <t>稳定第一页前半段</t>
        </is>
      </c>
      <c r="D18" s="6" t="inlineStr">
        <is>
          <t>差异化</t>
        </is>
      </c>
      <c r="E18" s="6" t="inlineStr">
        <is>
          <t>低竞价维持，不追高CPC</t>
        </is>
      </c>
    </row>
  </sheetData>
  <autoFilter ref="A4:G9"/>
  <mergeCells count="2">
    <mergeCell ref="A1:J1"/>
    <mergeCell ref="A2:J2"/>
  </mergeCell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8" customWidth="1" min="3" max="3"/>
    <col width="48" customWidth="1" min="4" max="4"/>
    <col width="32" customWidth="1" min="5" max="5"/>
    <col width="14" customWidth="1" min="6" max="6"/>
  </cols>
  <sheetData>
    <row r="1" ht="30" customHeight="1">
      <c r="A1" s="1" t="inlineStr">
        <is>
          <t>广告优化决策规则</t>
        </is>
      </c>
    </row>
    <row r="2" ht="28" customHeight="1">
      <c r="A2" s="2" t="inlineStr">
        <is>
          <t>建议以7–14天窗口做判断；明显不相关搜索词不需要等待样本量。</t>
        </is>
      </c>
    </row>
    <row r="4" ht="28" customHeight="1">
      <c r="A4" s="3" t="inlineStr">
        <is>
          <t>场景</t>
        </is>
      </c>
      <c r="B4" s="3" t="inlineStr">
        <is>
          <t>识别条件</t>
        </is>
      </c>
      <c r="C4" s="3" t="inlineStr">
        <is>
          <t>优先判断</t>
        </is>
      </c>
      <c r="D4" s="3" t="inlineStr">
        <is>
          <t>执行动作</t>
        </is>
      </c>
      <c r="E4" s="3" t="inlineStr">
        <is>
          <t>调整幅度/止损线</t>
        </is>
      </c>
      <c r="F4" s="3" t="inlineStr">
        <is>
          <t>复查周期</t>
        </is>
      </c>
    </row>
    <row r="5" ht="38" customHeight="1">
      <c r="A5" s="4" t="inlineStr">
        <is>
          <t>有订单且ACoS达标</t>
        </is>
      </c>
      <c r="B5" s="4" t="inlineStr">
        <is>
          <t>最近7–14天≥2单，ACoS≤目标</t>
        </is>
      </c>
      <c r="C5" s="4" t="inlineStr">
        <is>
          <t>是否受预算或位置限制</t>
        </is>
      </c>
      <c r="D5" s="4" t="inlineStr">
        <is>
          <t>提高出价；预算提前耗尽则加预算；测试首页首位</t>
        </is>
      </c>
      <c r="E5" s="4" t="inlineStr">
        <is>
          <t>出价+5%～10%；预算+20%；首页首位先+20%</t>
        </is>
      </c>
      <c r="F5" s="4" t="inlineStr">
        <is>
          <t>3–5天</t>
        </is>
      </c>
    </row>
    <row r="6" ht="38" customHeight="1">
      <c r="A6" s="6" t="inlineStr">
        <is>
          <t>有订单但ACoS略高</t>
        </is>
      </c>
      <c r="B6" s="6" t="inlineStr">
        <is>
          <t>目标ACoS&lt;实际ACoS≤目标×1.3</t>
        </is>
      </c>
      <c r="C6" s="6" t="inlineStr">
        <is>
          <t>自然排名是否提升</t>
        </is>
      </c>
      <c r="D6" s="6" t="inlineStr">
        <is>
          <t>保留并小幅降价</t>
        </is>
      </c>
      <c r="E6" s="6" t="inlineStr">
        <is>
          <t>出价-10%</t>
        </is>
      </c>
      <c r="F6" s="6" t="inlineStr">
        <is>
          <t>5–7天</t>
        </is>
      </c>
    </row>
    <row r="7" ht="38" customHeight="1">
      <c r="A7" s="4" t="inlineStr">
        <is>
          <t>有订单但ACoS明显过高</t>
        </is>
      </c>
      <c r="B7" s="4" t="inlineStr">
        <is>
          <t>目标×1.3&lt;实际ACoS≤目标×1.7</t>
        </is>
      </c>
      <c r="C7" s="4" t="inlineStr">
        <is>
          <t>是否承担战略排名任务</t>
        </is>
      </c>
      <c r="D7" s="4" t="inlineStr">
        <is>
          <t>降价、降低位置加价、清理搜索词</t>
        </is>
      </c>
      <c r="E7" s="4" t="inlineStr">
        <is>
          <t>出价-15%～25%</t>
        </is>
      </c>
      <c r="F7" s="4" t="inlineStr">
        <is>
          <t>5–7天</t>
        </is>
      </c>
    </row>
    <row r="8" ht="38" customHeight="1">
      <c r="A8" s="6" t="inlineStr">
        <is>
          <t>长期高ACoS且无排名改善</t>
        </is>
      </c>
      <c r="B8" s="6" t="inlineStr">
        <is>
          <t>实际ACoS&gt;目标×1.7，且自然排名不升</t>
        </is>
      </c>
      <c r="C8" s="6" t="inlineStr">
        <is>
          <t>是否值得继续战略投入</t>
        </is>
      </c>
      <c r="D8" s="6" t="inlineStr">
        <is>
          <t>暂停或转入低预算排名活动</t>
        </is>
      </c>
      <c r="E8" s="6" t="inlineStr">
        <is>
          <t>预算封顶；不再自动加价</t>
        </is>
      </c>
      <c r="F8" s="6" t="inlineStr">
        <is>
          <t>7天</t>
        </is>
      </c>
    </row>
    <row r="9" ht="38" customHeight="1">
      <c r="A9" s="4" t="inlineStr">
        <is>
          <t>普通词无订单</t>
        </is>
      </c>
      <c r="B9" s="4" t="inlineStr">
        <is>
          <t>花费≥目标CPA×1.5</t>
        </is>
      </c>
      <c r="C9" s="4" t="inlineStr">
        <is>
          <t>相关性、CTR、页面承接</t>
        </is>
      </c>
      <c r="D9" s="4" t="inlineStr">
        <is>
          <t>先降价</t>
        </is>
      </c>
      <c r="E9" s="4" t="inlineStr">
        <is>
          <t>出价-15%～20%</t>
        </is>
      </c>
      <c r="F9" s="4" t="inlineStr">
        <is>
          <t>3–5天</t>
        </is>
      </c>
    </row>
    <row r="10" ht="38" customHeight="1">
      <c r="A10" s="6" t="inlineStr">
        <is>
          <t>普通词持续无订单</t>
        </is>
      </c>
      <c r="B10" s="6" t="inlineStr">
        <is>
          <t>花费≥目标CPA×2</t>
        </is>
      </c>
      <c r="C10" s="6" t="inlineStr">
        <is>
          <t>是否属于强相关战略词</t>
        </is>
      </c>
      <c r="D10" s="6" t="inlineStr">
        <is>
          <t>暂停或否定</t>
        </is>
      </c>
      <c r="E10" s="6" t="inlineStr">
        <is>
          <t>停止继续累积无效点击</t>
        </is>
      </c>
      <c r="F10" s="6" t="inlineStr">
        <is>
          <t>7天</t>
        </is>
      </c>
    </row>
    <row r="11" ht="38" customHeight="1">
      <c r="A11" s="4" t="inlineStr">
        <is>
          <t>核心战略词无订单</t>
        </is>
      </c>
      <c r="B11" s="4" t="inlineStr">
        <is>
          <t>花费≥目标CPA×2</t>
        </is>
      </c>
      <c r="C11" s="4" t="inlineStr">
        <is>
          <t>主图、价格、Review、自然排名</t>
        </is>
      </c>
      <c r="D11" s="4" t="inlineStr">
        <is>
          <t>不立即否定；先降价并检查Listing</t>
        </is>
      </c>
      <c r="E11" s="4" t="inlineStr">
        <is>
          <t>出价-15%～25%</t>
        </is>
      </c>
      <c r="F11" s="4" t="inlineStr">
        <is>
          <t>7天</t>
        </is>
      </c>
    </row>
    <row r="12" ht="38" customHeight="1">
      <c r="A12" s="6" t="inlineStr">
        <is>
          <t>曝光高CTR低</t>
        </is>
      </c>
      <c r="B12" s="6" t="inlineStr">
        <is>
          <t>曝光充足但点击弱</t>
        </is>
      </c>
      <c r="C12" s="6" t="inlineStr">
        <is>
          <t>主图、标题前部、价格、搜索意图</t>
        </is>
      </c>
      <c r="D12" s="6" t="inlineStr">
        <is>
          <t>优化承接或降价，不靠加竞价解决</t>
        </is>
      </c>
      <c r="E12" s="6" t="inlineStr">
        <is>
          <t>先优化页面，再评估广告</t>
        </is>
      </c>
      <c r="F12" s="6" t="inlineStr">
        <is>
          <t>7天</t>
        </is>
      </c>
    </row>
    <row r="13" ht="38" customHeight="1">
      <c r="A13" s="4" t="inlineStr">
        <is>
          <t>CTR好CVR低</t>
        </is>
      </c>
      <c r="B13" s="4" t="inlineStr">
        <is>
          <t>点击意愿存在但不购买</t>
        </is>
      </c>
      <c r="C13" s="4" t="inlineStr">
        <is>
          <t>搜索意图、页面证明、价格、评分</t>
        </is>
      </c>
      <c r="D13" s="4" t="inlineStr">
        <is>
          <t>拆搜索词；修Listing；错词否定</t>
        </is>
      </c>
      <c r="E13" s="4" t="inlineStr">
        <is>
          <t>按目标CPA止损</t>
        </is>
      </c>
      <c r="F13" s="4" t="inlineStr">
        <is>
          <t>7–14天</t>
        </is>
      </c>
    </row>
    <row r="14" ht="38" customHeight="1">
      <c r="A14" s="6" t="inlineStr">
        <is>
          <t>ACoS低但无量</t>
        </is>
      </c>
      <c r="B14" s="6" t="inlineStr">
        <is>
          <t>≥2单且ACoS低、预算或位置受限</t>
        </is>
      </c>
      <c r="C14" s="6" t="inlineStr">
        <is>
          <t>关键词搜索量和预算状态</t>
        </is>
      </c>
      <c r="D14" s="6" t="inlineStr">
        <is>
          <t>小幅加价、加预算、测试首页首位</t>
        </is>
      </c>
      <c r="E14" s="6" t="inlineStr">
        <is>
          <t>每次+5%～10%</t>
        </is>
      </c>
      <c r="F14" s="6" t="inlineStr">
        <is>
          <t>3–5天</t>
        </is>
      </c>
    </row>
    <row r="15" ht="38" customHeight="1">
      <c r="A15" s="4" t="inlineStr">
        <is>
          <t>预算下午4点前耗尽且ACoS达标</t>
        </is>
      </c>
      <c r="B15" s="4" t="inlineStr">
        <is>
          <t>活动预算受限</t>
        </is>
      </c>
      <c r="C15" s="4" t="inlineStr">
        <is>
          <t>是否被单个词吃完</t>
        </is>
      </c>
      <c r="D15" s="4" t="inlineStr">
        <is>
          <t>先清理结构，再增加预算</t>
        </is>
      </c>
      <c r="E15" s="4" t="inlineStr">
        <is>
          <t>预算+20%</t>
        </is>
      </c>
      <c r="F15" s="4" t="inlineStr">
        <is>
          <t>次日/3天</t>
        </is>
      </c>
    </row>
    <row r="16" ht="38" customHeight="1">
      <c r="A16" s="6" t="inlineStr">
        <is>
          <t>预算耗尽但ACoS偏高</t>
        </is>
      </c>
      <c r="B16" s="6" t="inlineStr">
        <is>
          <t>花费快但效率差</t>
        </is>
      </c>
      <c r="C16" s="6" t="inlineStr">
        <is>
          <t>浪费词和位置成本</t>
        </is>
      </c>
      <c r="D16" s="6" t="inlineStr">
        <is>
          <t>不加预算；先降价和否定</t>
        </is>
      </c>
      <c r="E16" s="6" t="inlineStr">
        <is>
          <t>优先削减无效目标</t>
        </is>
      </c>
      <c r="F16" s="6" t="inlineStr">
        <is>
          <t>3–5天</t>
        </is>
      </c>
    </row>
    <row r="17" ht="38" customHeight="1">
      <c r="A17" s="4" t="inlineStr">
        <is>
          <t>搜索词转精准</t>
        </is>
      </c>
      <c r="B17" s="4" t="inlineStr">
        <is>
          <t>搜索词有2单或1单且高度相关、效率可接受</t>
        </is>
      </c>
      <c r="C17" s="4" t="inlineStr">
        <is>
          <t>精准活动能否接住流量</t>
        </is>
      </c>
      <c r="D17" s="4" t="inlineStr">
        <is>
          <t>先新增精准；3–7天后再决定原活动否定精准</t>
        </is>
      </c>
      <c r="E17" s="4" t="inlineStr">
        <is>
          <t>不要立即切断原流量</t>
        </is>
      </c>
      <c r="F17" s="4" t="inlineStr">
        <is>
          <t>3–7天</t>
        </is>
      </c>
    </row>
  </sheetData>
  <autoFilter ref="A4:F17"/>
  <mergeCells count="2">
    <mergeCell ref="A1:J1"/>
    <mergeCell ref="A2:J2"/>
  </mergeCell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4" customWidth="1" min="4" max="4"/>
    <col width="55" customWidth="1" min="5" max="5"/>
    <col width="30" customWidth="1" min="6" max="6"/>
  </cols>
  <sheetData>
    <row r="1" ht="30" customHeight="1">
      <c r="A1" s="1" t="inlineStr">
        <is>
          <t>否定关键词与独立测试词</t>
        </is>
      </c>
    </row>
    <row r="2" ht="28" customHeight="1">
      <c r="A2" s="2" t="inlineStr">
        <is>
          <t>否定前确认真实搜索词；竞品品牌词应从普通活动隔离到独立竞品活动，而不是全账户永久否定。</t>
        </is>
      </c>
    </row>
    <row r="4" ht="28" customHeight="1">
      <c r="A4" s="3" t="inlineStr">
        <is>
          <t>关键词/词根</t>
        </is>
      </c>
      <c r="B4" s="3" t="inlineStr">
        <is>
          <t>类型</t>
        </is>
      </c>
      <c r="C4" s="3" t="inlineStr">
        <is>
          <t>建议匹配方式</t>
        </is>
      </c>
      <c r="D4" s="3" t="inlineStr">
        <is>
          <t>处理建议</t>
        </is>
      </c>
      <c r="E4" s="3" t="inlineStr">
        <is>
          <t>原因</t>
        </is>
      </c>
      <c r="F4" s="3" t="inlineStr">
        <is>
          <t>适用活动</t>
        </is>
      </c>
    </row>
    <row r="5" ht="38" customHeight="1">
      <c r="A5" s="4" t="inlineStr">
        <is>
          <t>bike lock with key</t>
        </is>
      </c>
      <c r="B5" s="4" t="inlineStr">
        <is>
          <t>结构不匹配</t>
        </is>
      </c>
      <c r="C5" s="4" t="inlineStr">
        <is>
          <t>否定精准</t>
        </is>
      </c>
      <c r="D5" s="4" t="inlineStr">
        <is>
          <t>立即否定</t>
        </is>
      </c>
      <c r="E5" s="4" t="inlineStr">
        <is>
          <t>商品为密码锁，不带钥匙</t>
        </is>
      </c>
      <c r="F5" s="4" t="inlineStr">
        <is>
          <t>自动/词组/广泛</t>
        </is>
      </c>
    </row>
    <row r="6" ht="38" customHeight="1">
      <c r="A6" s="6" t="inlineStr">
        <is>
          <t>key bike lock</t>
        </is>
      </c>
      <c r="B6" s="6" t="inlineStr">
        <is>
          <t>结构不匹配</t>
        </is>
      </c>
      <c r="C6" s="6" t="inlineStr">
        <is>
          <t>否定词组或精准</t>
        </is>
      </c>
      <c r="D6" s="6" t="inlineStr">
        <is>
          <t>否定</t>
        </is>
      </c>
      <c r="E6" s="6" t="inlineStr">
        <is>
          <t>钥匙需求与产品不符</t>
        </is>
      </c>
      <c r="F6" s="6" t="inlineStr">
        <is>
          <t>自动/词组/广泛</t>
        </is>
      </c>
    </row>
    <row r="7" ht="38" customHeight="1">
      <c r="A7" s="4" t="inlineStr">
        <is>
          <t>u lock / bike u lock</t>
        </is>
      </c>
      <c r="B7" s="4" t="inlineStr">
        <is>
          <t>产品形态不匹配</t>
        </is>
      </c>
      <c r="C7" s="4" t="inlineStr">
        <is>
          <t>否定词组</t>
        </is>
      </c>
      <c r="D7" s="4" t="inlineStr">
        <is>
          <t>否定</t>
        </is>
      </c>
      <c r="E7" s="4" t="inlineStr">
        <is>
          <t>用户寻找U型锁</t>
        </is>
      </c>
      <c r="F7" s="4" t="inlineStr">
        <is>
          <t>自动/词组/广泛</t>
        </is>
      </c>
    </row>
    <row r="8" ht="38" customHeight="1">
      <c r="A8" s="6" t="inlineStr">
        <is>
          <t>chain bike lock / bike chain lock</t>
        </is>
      </c>
      <c r="B8" s="6" t="inlineStr">
        <is>
          <t>产品形态不匹配</t>
        </is>
      </c>
      <c r="C8" s="6" t="inlineStr">
        <is>
          <t>否定词组</t>
        </is>
      </c>
      <c r="D8" s="6" t="inlineStr">
        <is>
          <t>否定</t>
        </is>
      </c>
      <c r="E8" s="6" t="inlineStr">
        <is>
          <t>用户寻找链条锁</t>
        </is>
      </c>
      <c r="F8" s="6" t="inlineStr">
        <is>
          <t>自动/词组/广泛</t>
        </is>
      </c>
    </row>
    <row r="9" ht="38" customHeight="1">
      <c r="A9" s="4" t="inlineStr">
        <is>
          <t>folding bike lock</t>
        </is>
      </c>
      <c r="B9" s="4" t="inlineStr">
        <is>
          <t>产品形态不匹配</t>
        </is>
      </c>
      <c r="C9" s="4" t="inlineStr">
        <is>
          <t>否定词组</t>
        </is>
      </c>
      <c r="D9" s="4" t="inlineStr">
        <is>
          <t>否定</t>
        </is>
      </c>
      <c r="E9" s="4" t="inlineStr">
        <is>
          <t>用户寻找折叠锁</t>
        </is>
      </c>
      <c r="F9" s="4" t="inlineStr">
        <is>
          <t>自动/词组/广泛</t>
        </is>
      </c>
    </row>
    <row r="10" ht="38" customHeight="1">
      <c r="A10" s="6" t="inlineStr">
        <is>
          <t>bike lock alarm / alarm bike lock</t>
        </is>
      </c>
      <c r="B10" s="6" t="inlineStr">
        <is>
          <t>功能不匹配</t>
        </is>
      </c>
      <c r="C10" s="6" t="inlineStr">
        <is>
          <t>否定词组</t>
        </is>
      </c>
      <c r="D10" s="6" t="inlineStr">
        <is>
          <t>否定</t>
        </is>
      </c>
      <c r="E10" s="6" t="inlineStr">
        <is>
          <t>产品无报警功能</t>
        </is>
      </c>
      <c r="F10" s="6" t="inlineStr">
        <is>
          <t>所有探索活动</t>
        </is>
      </c>
    </row>
    <row r="11" ht="38" customHeight="1">
      <c r="A11" s="4" t="inlineStr">
        <is>
          <t>fingerprint bike lock</t>
        </is>
      </c>
      <c r="B11" s="4" t="inlineStr">
        <is>
          <t>功能不匹配</t>
        </is>
      </c>
      <c r="C11" s="4" t="inlineStr">
        <is>
          <t>否定词组</t>
        </is>
      </c>
      <c r="D11" s="4" t="inlineStr">
        <is>
          <t>否定</t>
        </is>
      </c>
      <c r="E11" s="4" t="inlineStr">
        <is>
          <t>产品无指纹功能</t>
        </is>
      </c>
      <c r="F11" s="4" t="inlineStr">
        <is>
          <t>所有探索活动</t>
        </is>
      </c>
    </row>
    <row r="12" ht="38" customHeight="1">
      <c r="A12" s="6" t="inlineStr">
        <is>
          <t>smart bike lock / gps bike lock</t>
        </is>
      </c>
      <c r="B12" s="6" t="inlineStr">
        <is>
          <t>功能不匹配</t>
        </is>
      </c>
      <c r="C12" s="6" t="inlineStr">
        <is>
          <t>否定词组</t>
        </is>
      </c>
      <c r="D12" s="6" t="inlineStr">
        <is>
          <t>否定</t>
        </is>
      </c>
      <c r="E12" s="6" t="inlineStr">
        <is>
          <t>产品非智能/GPS锁</t>
        </is>
      </c>
      <c r="F12" s="6" t="inlineStr">
        <is>
          <t>所有探索活动</t>
        </is>
      </c>
    </row>
    <row r="13" ht="38" customHeight="1">
      <c r="A13" s="4" t="inlineStr">
        <is>
          <t>motorcycle disc lock / disc brake lock</t>
        </is>
      </c>
      <c r="B13" s="4" t="inlineStr">
        <is>
          <t>产品形态不匹配</t>
        </is>
      </c>
      <c r="C13" s="4" t="inlineStr">
        <is>
          <t>否定词组</t>
        </is>
      </c>
      <c r="D13" s="4" t="inlineStr">
        <is>
          <t>否定</t>
        </is>
      </c>
      <c r="E13" s="4" t="inlineStr">
        <is>
          <t>用户寻找碟刹锁</t>
        </is>
      </c>
      <c r="F13" s="4" t="inlineStr">
        <is>
          <t>自动/词组/广泛</t>
        </is>
      </c>
    </row>
    <row r="14" ht="38" customHeight="1">
      <c r="A14" s="6" t="inlineStr">
        <is>
          <t>combination padlock / luggage lock / gym locker lock</t>
        </is>
      </c>
      <c r="B14" s="6" t="inlineStr">
        <is>
          <t>类目不匹配</t>
        </is>
      </c>
      <c r="C14" s="6" t="inlineStr">
        <is>
          <t>否定词组</t>
        </is>
      </c>
      <c r="D14" s="6" t="inlineStr">
        <is>
          <t>否定</t>
        </is>
      </c>
      <c r="E14" s="6" t="inlineStr">
        <is>
          <t>非自行车钢缆锁需求</t>
        </is>
      </c>
      <c r="F14" s="6" t="inlineStr">
        <is>
          <t>所有探索活动</t>
        </is>
      </c>
    </row>
    <row r="15" ht="38" customHeight="1">
      <c r="A15" s="4" t="inlineStr">
        <is>
          <t>uncuttable / cut proof</t>
        </is>
      </c>
      <c r="B15" s="4" t="inlineStr">
        <is>
          <t>承诺风险</t>
        </is>
      </c>
      <c r="C15" s="4" t="inlineStr">
        <is>
          <t>否定词组</t>
        </is>
      </c>
      <c r="D15" s="4" t="inlineStr">
        <is>
          <t>建议否定</t>
        </is>
      </c>
      <c r="E15" s="4" t="inlineStr">
        <is>
          <t>CPC高、购买率低且存在绝对防盗承诺风险</t>
        </is>
      </c>
      <c r="F15" s="4" t="inlineStr">
        <is>
          <t>所有广告</t>
        </is>
      </c>
    </row>
    <row r="16" ht="38" customHeight="1">
      <c r="A16" s="6" t="inlineStr">
        <is>
          <t>master lock</t>
        </is>
      </c>
      <c r="B16" s="6" t="inlineStr">
        <is>
          <t>竞品品牌</t>
        </is>
      </c>
      <c r="C16" s="6" t="inlineStr">
        <is>
          <t>普通活动否定词组</t>
        </is>
      </c>
      <c r="D16" s="6" t="inlineStr">
        <is>
          <t>隔离到竞品活动</t>
        </is>
      </c>
      <c r="E16" s="6" t="inlineStr">
        <is>
          <t>品牌倾向强，需要独立预算和止损</t>
        </is>
      </c>
      <c r="F16" s="6" t="inlineStr">
        <is>
          <t>普通精准外的探索活动</t>
        </is>
      </c>
    </row>
    <row r="17" ht="38" customHeight="1">
      <c r="A17" s="4" t="inlineStr">
        <is>
          <t>kryptonite</t>
        </is>
      </c>
      <c r="B17" s="4" t="inlineStr">
        <is>
          <t>竞品品牌</t>
        </is>
      </c>
      <c r="C17" s="4" t="inlineStr">
        <is>
          <t>普通活动否定词组</t>
        </is>
      </c>
      <c r="D17" s="4" t="inlineStr">
        <is>
          <t>隔离到竞品活动</t>
        </is>
      </c>
      <c r="E17" s="4" t="inlineStr">
        <is>
          <t>品牌倾向强</t>
        </is>
      </c>
      <c r="F17" s="4" t="inlineStr">
        <is>
          <t>普通精准外的探索活动</t>
        </is>
      </c>
    </row>
    <row r="18" ht="38" customHeight="1">
      <c r="A18" s="6" t="inlineStr">
        <is>
          <t>titanker</t>
        </is>
      </c>
      <c r="B18" s="6" t="inlineStr">
        <is>
          <t>竞品品牌</t>
        </is>
      </c>
      <c r="C18" s="6" t="inlineStr">
        <is>
          <t>普通活动否定词组</t>
        </is>
      </c>
      <c r="D18" s="6" t="inlineStr">
        <is>
          <t>隔离到竞品活动</t>
        </is>
      </c>
      <c r="E18" s="6" t="inlineStr">
        <is>
          <t>品牌倾向强</t>
        </is>
      </c>
      <c r="F18" s="6" t="inlineStr">
        <is>
          <t>普通精准外的探索活动</t>
        </is>
      </c>
    </row>
    <row r="19" ht="38" customHeight="1">
      <c r="A19" s="4" t="inlineStr">
        <is>
          <t>stroller / grill / gate</t>
        </is>
      </c>
      <c r="B19" s="4" t="inlineStr">
        <is>
          <t>弱相关场景</t>
        </is>
      </c>
      <c r="C19" s="4" t="inlineStr">
        <is>
          <t>不全局否定</t>
        </is>
      </c>
      <c r="D19" s="4" t="inlineStr">
        <is>
          <t>独立低预算测试</t>
        </is>
      </c>
      <c r="E19" s="4" t="inlineStr">
        <is>
          <t>产品可用但会稀释自行车核心预算</t>
        </is>
      </c>
      <c r="F19" s="4" t="inlineStr">
        <is>
          <t>场景探索活动</t>
        </is>
      </c>
    </row>
  </sheetData>
  <autoFilter ref="A4:F19"/>
  <mergeCells count="2">
    <mergeCell ref="A1:J1"/>
    <mergeCell ref="A2:J2"/>
  </mergeCell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75" customWidth="1" min="3" max="3"/>
    <col width="24" customWidth="1" min="4" max="4"/>
    <col width="12" customWidth="1" min="5" max="5"/>
    <col width="45" customWidth="1" min="6" max="6"/>
  </cols>
  <sheetData>
    <row r="1" ht="30" customHeight="1">
      <c r="A1" s="1" t="inlineStr">
        <is>
          <t>广告投放前的Listing承接清单</t>
        </is>
      </c>
    </row>
    <row r="2" ht="28" customHeight="1">
      <c r="A2" s="2" t="inlineStr">
        <is>
          <t>广告不是独立系统。关键词、搜索结果页表达和详情页证明必须一致。</t>
        </is>
      </c>
    </row>
    <row r="4" ht="28" customHeight="1">
      <c r="A4" s="3" t="inlineStr">
        <is>
          <t>页面位置</t>
        </is>
      </c>
      <c r="B4" s="3" t="inlineStr">
        <is>
          <t>要承接的关键词/需求</t>
        </is>
      </c>
      <c r="C4" s="3" t="inlineStr">
        <is>
          <t>建议表达</t>
        </is>
      </c>
      <c r="D4" s="3" t="inlineStr">
        <is>
          <t>检查状态</t>
        </is>
      </c>
      <c r="E4" s="3" t="inlineStr">
        <is>
          <t>优先级</t>
        </is>
      </c>
      <c r="F4" s="3" t="inlineStr">
        <is>
          <t>备注</t>
        </is>
      </c>
    </row>
    <row r="5" ht="38" customHeight="1">
      <c r="A5" s="4" t="inlineStr">
        <is>
          <t>标题前部</t>
        </is>
      </c>
      <c r="B5" s="4" t="inlineStr">
        <is>
          <t>6FT / bike cable lock / 12MM / 4-digit</t>
        </is>
      </c>
      <c r="C5" s="4" t="inlineStr">
        <is>
          <t>建议把6FT、12MM和产品类型前置，例如：6FT Bike Cable Lock, 12MM Heavy Duty 4-Digit Resettable Combination Lock…</t>
        </is>
      </c>
      <c r="D5" s="4" t="inlineStr">
        <is>
          <t>待检查</t>
        </is>
      </c>
      <c r="E5" s="4" t="inlineStr">
        <is>
          <t>高</t>
        </is>
      </c>
      <c r="F5" s="4" t="inlineStr">
        <is>
          <t>不要堆砌不相关词</t>
        </is>
      </c>
    </row>
    <row r="6" ht="38" customHeight="1">
      <c r="A6" s="6" t="inlineStr">
        <is>
          <t>主图</t>
        </is>
      </c>
      <c r="B6" s="6" t="inlineStr">
        <is>
          <t>产品类型与外观</t>
        </is>
      </c>
      <c r="C6" s="6" t="inlineStr">
        <is>
          <t>保证产品占比、清晰度和锁头细节；主图不添加违规文字</t>
        </is>
      </c>
      <c r="D6" s="6" t="inlineStr">
        <is>
          <t>当前基础尚可</t>
        </is>
      </c>
      <c r="E6" s="6" t="inlineStr">
        <is>
          <t>高</t>
        </is>
      </c>
      <c r="F6" s="6" t="inlineStr">
        <is>
          <t>单看主图不易感知6FT/12MM</t>
        </is>
      </c>
    </row>
    <row r="7" ht="38" customHeight="1">
      <c r="A7" s="4" t="inlineStr">
        <is>
          <t>辅图2</t>
        </is>
      </c>
      <c r="B7" s="4" t="inlineStr">
        <is>
          <t>6FT长度</t>
        </is>
      </c>
      <c r="C7" s="4" t="inlineStr">
        <is>
          <t>展示6FT/1.8M、锁车架和固定物、可锁多件物品</t>
        </is>
      </c>
      <c r="D7" s="4" t="inlineStr">
        <is>
          <t>待强化</t>
        </is>
      </c>
      <c r="E7" s="4" t="inlineStr">
        <is>
          <t>高</t>
        </is>
      </c>
      <c r="F7" s="4" t="inlineStr">
        <is>
          <t>支撑6 ft和multiple bikes关键词</t>
        </is>
      </c>
    </row>
    <row r="8" ht="38" customHeight="1">
      <c r="A8" s="6" t="inlineStr">
        <is>
          <t>辅图3</t>
        </is>
      </c>
      <c r="B8" s="6" t="inlineStr">
        <is>
          <t>12MM粗度/耐用性</t>
        </is>
      </c>
      <c r="C8" s="6" t="inlineStr">
        <is>
          <t>展示12MM直径、编织钢缆、外部涂层和抗拉扯结构</t>
        </is>
      </c>
      <c r="D8" s="6" t="inlineStr">
        <is>
          <t>待强化</t>
        </is>
      </c>
      <c r="E8" s="6" t="inlineStr">
        <is>
          <t>高</t>
        </is>
      </c>
      <c r="F8" s="6" t="inlineStr">
        <is>
          <t>使用cut resistant，不用uncuttable</t>
        </is>
      </c>
    </row>
    <row r="9" ht="38" customHeight="1">
      <c r="A9" s="4" t="inlineStr">
        <is>
          <t>辅图4</t>
        </is>
      </c>
      <c r="B9" s="4" t="inlineStr">
        <is>
          <t>4位密码</t>
        </is>
      </c>
      <c r="C9" s="4" t="inlineStr">
        <is>
          <t>展示10,000种组合、无钥匙、重置步骤</t>
        </is>
      </c>
      <c r="D9" s="4" t="inlineStr">
        <is>
          <t>待检查</t>
        </is>
      </c>
      <c r="E9" s="4" t="inlineStr">
        <is>
          <t>高</t>
        </is>
      </c>
      <c r="F9" s="4" t="inlineStr">
        <is>
          <t>支撑combination和resettable需求</t>
        </is>
      </c>
    </row>
    <row r="10" ht="38" customHeight="1">
      <c r="A10" s="6" t="inlineStr">
        <is>
          <t>辅图5</t>
        </is>
      </c>
      <c r="B10" s="6" t="inlineStr">
        <is>
          <t>E-bike/Scooter</t>
        </is>
      </c>
      <c r="C10" s="6" t="inlineStr">
        <is>
          <t>真实展示电动自行车和滑板车使用场景</t>
        </is>
      </c>
      <c r="D10" s="6" t="inlineStr">
        <is>
          <t>待强化</t>
        </is>
      </c>
      <c r="E10" s="6" t="inlineStr">
        <is>
          <t>高</t>
        </is>
      </c>
      <c r="F10" s="6" t="inlineStr">
        <is>
          <t>支撑electric bike和scooter广告</t>
        </is>
      </c>
    </row>
    <row r="11" ht="38" customHeight="1">
      <c r="A11" s="4" t="inlineStr">
        <is>
          <t>辅图6</t>
        </is>
      </c>
      <c r="B11" s="4" t="inlineStr">
        <is>
          <t>多用途</t>
        </is>
      </c>
      <c r="C11" s="4" t="inlineStr">
        <is>
          <t>Bike/E-bike/Scooter/Stroller/Grill/Gate/Toolbox</t>
        </is>
      </c>
      <c r="D11" s="4" t="inlineStr">
        <is>
          <t>待检查</t>
        </is>
      </c>
      <c r="E11" s="4" t="inlineStr">
        <is>
          <t>中</t>
        </is>
      </c>
      <c r="F11" s="4" t="inlineStr">
        <is>
          <t>广告早期仍以自行车场景为主</t>
        </is>
      </c>
    </row>
    <row r="12" ht="38" customHeight="1">
      <c r="A12" s="6" t="inlineStr">
        <is>
          <t>五点描述</t>
        </is>
      </c>
      <c r="B12" s="6" t="inlineStr">
        <is>
          <t>规格与安全预期</t>
        </is>
      </c>
      <c r="C12" s="6" t="inlineStr">
        <is>
          <t>明确6FT、12MM、4位密码、自卷式、耐候；保留“无锁100%防盗”的合理提醒</t>
        </is>
      </c>
      <c r="D12" s="6" t="inlineStr">
        <is>
          <t>已有基础</t>
        </is>
      </c>
      <c r="E12" s="6" t="inlineStr">
        <is>
          <t>高</t>
        </is>
      </c>
      <c r="F12" s="6" t="inlineStr">
        <is>
          <t>避免绝对安全承诺</t>
        </is>
      </c>
    </row>
    <row r="13" ht="38" customHeight="1">
      <c r="A13" s="4" t="inlineStr">
        <is>
          <t>A+和视频</t>
        </is>
      </c>
      <c r="B13" s="4" t="inlineStr">
        <is>
          <t>差异化证明</t>
        </is>
      </c>
      <c r="C13" s="4" t="inlineStr">
        <is>
          <t>视频前3秒出现6FT、12MM、4位密码和E-bike场景</t>
        </is>
      </c>
      <c r="D13" s="4" t="inlineStr">
        <is>
          <t>已有A+和视频，待审核内容</t>
        </is>
      </c>
      <c r="E13" s="4" t="inlineStr">
        <is>
          <t>中高</t>
        </is>
      </c>
      <c r="F13" s="4" t="inlineStr">
        <is>
          <t>可为后续SB视频复用</t>
        </is>
      </c>
    </row>
    <row r="14" ht="38" customHeight="1">
      <c r="A14" s="6" t="inlineStr">
        <is>
          <t>价格与Coupon</t>
        </is>
      </c>
      <c r="B14" s="6" t="inlineStr">
        <is>
          <t>点击与转化</t>
        </is>
      </c>
      <c r="C14" s="6" t="inlineStr">
        <is>
          <t>广告重建期间保持稳定价格锚点；利润允许时测试5%–10% Coupon</t>
        </is>
      </c>
      <c r="D14" s="6" t="inlineStr">
        <is>
          <t>待决策</t>
        </is>
      </c>
      <c r="E14" s="6" t="inlineStr">
        <is>
          <t>高</t>
        </is>
      </c>
      <c r="F14" s="6" t="inlineStr">
        <is>
          <t>不要频繁同时改变价格和竞价</t>
        </is>
      </c>
    </row>
  </sheetData>
  <autoFilter ref="A4:F14"/>
  <mergeCells count="2">
    <mergeCell ref="A1:J1"/>
    <mergeCell ref="A2:J2"/>
  </mergeCells>
  <dataValidations count="1">
    <dataValidation sqref="D5:D14" showDropDown="0" showInputMessage="0" showErrorMessage="0" allowBlank="1" type="list">
      <formula1>"待检查,待强化,已完成,不适用"</formula1>
    </dataValidation>
  </dataValidation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X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34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0" customWidth="1" min="10" max="10"/>
    <col width="11" customWidth="1" min="11" max="11"/>
    <col width="11" customWidth="1" min="12" max="12"/>
    <col width="12" customWidth="1" min="13" max="13"/>
    <col width="10" customWidth="1" min="14" max="14"/>
    <col width="11" customWidth="1" min="15" max="15"/>
    <col width="15" customWidth="1" min="16" max="16"/>
    <col width="11" customWidth="1" min="17" max="17"/>
    <col width="10" customWidth="1" min="18" max="18"/>
    <col width="12" customWidth="1" min="19" max="19"/>
    <col width="11" customWidth="1" min="20" max="20"/>
    <col width="12" customWidth="1" min="21" max="21"/>
    <col width="38" customWidth="1" min="22" max="22"/>
    <col width="16" customWidth="1" min="23" max="23"/>
    <col width="15" customWidth="1" min="24" max="24"/>
  </cols>
  <sheetData>
    <row r="1" ht="30" customHeight="1">
      <c r="A1" s="1" t="inlineStr">
        <is>
          <t>广告监测与操作记录模板</t>
        </is>
      </c>
    </row>
    <row r="2" ht="28" customHeight="1">
      <c r="A2" s="2" t="inlineStr">
        <is>
          <t>建议每天追加数据、每7天做一次决策。自然排名和页面变更必须与广告指标同表记录。</t>
        </is>
      </c>
    </row>
    <row r="4" ht="28" customHeight="1">
      <c r="A4" s="3" t="inlineStr">
        <is>
          <t>日期</t>
        </is>
      </c>
      <c r="B4" s="3" t="inlineStr">
        <is>
          <t>活动</t>
        </is>
      </c>
      <c r="C4" s="3" t="inlineStr">
        <is>
          <t>广告组</t>
        </is>
      </c>
      <c r="D4" s="3" t="inlineStr">
        <is>
          <t>关键词/ASIN</t>
        </is>
      </c>
      <c r="E4" s="3" t="inlineStr">
        <is>
          <t>匹配方式</t>
        </is>
      </c>
      <c r="F4" s="3" t="inlineStr">
        <is>
          <t>活动目的</t>
        </is>
      </c>
      <c r="G4" s="3" t="inlineStr">
        <is>
          <t>出价($)</t>
        </is>
      </c>
      <c r="H4" s="3" t="inlineStr">
        <is>
          <t>日预算($)</t>
        </is>
      </c>
      <c r="I4" s="3" t="inlineStr">
        <is>
          <t>曝光</t>
        </is>
      </c>
      <c r="J4" s="3" t="inlineStr">
        <is>
          <t>点击</t>
        </is>
      </c>
      <c r="K4" s="3" t="inlineStr">
        <is>
          <t>CTR</t>
        </is>
      </c>
      <c r="L4" s="3" t="inlineStr">
        <is>
          <t>CPC($)</t>
        </is>
      </c>
      <c r="M4" s="3" t="inlineStr">
        <is>
          <t>花费($)</t>
        </is>
      </c>
      <c r="N4" s="3" t="inlineStr">
        <is>
          <t>订单</t>
        </is>
      </c>
      <c r="O4" s="3" t="inlineStr">
        <is>
          <t>CVR</t>
        </is>
      </c>
      <c r="P4" s="3" t="inlineStr">
        <is>
          <t>广告销售额($)</t>
        </is>
      </c>
      <c r="Q4" s="3" t="inlineStr">
        <is>
          <t>ACoS</t>
        </is>
      </c>
      <c r="R4" s="3" t="inlineStr">
        <is>
          <t>ROAS</t>
        </is>
      </c>
      <c r="S4" s="3" t="inlineStr">
        <is>
          <t>自然排名</t>
        </is>
      </c>
      <c r="T4" s="3" t="inlineStr">
        <is>
          <t>价格($)</t>
        </is>
      </c>
      <c r="U4" s="3" t="inlineStr">
        <is>
          <t>Coupon</t>
        </is>
      </c>
      <c r="V4" s="3" t="inlineStr">
        <is>
          <t>操作记录</t>
        </is>
      </c>
      <c r="W4" s="3" t="inlineStr">
        <is>
          <t>结论</t>
        </is>
      </c>
      <c r="X4" s="3" t="inlineStr">
        <is>
          <t>下次复查日期</t>
        </is>
      </c>
    </row>
    <row r="5" ht="38" customHeight="1">
      <c r="A5" s="27" t="n">
        <v>46233</v>
      </c>
      <c r="B5" s="4" t="inlineStr">
        <is>
          <t>SP-EX-Core-Ranking</t>
        </is>
      </c>
      <c r="C5" s="4" t="inlineStr">
        <is>
          <t>Core</t>
        </is>
      </c>
      <c r="D5" s="4" t="inlineStr">
        <is>
          <t>bike lock</t>
        </is>
      </c>
      <c r="E5" s="4" t="inlineStr">
        <is>
          <t>精准</t>
        </is>
      </c>
      <c r="F5" s="4" t="inlineStr">
        <is>
          <t>排名</t>
        </is>
      </c>
      <c r="G5" s="10" t="n">
        <v>0.85</v>
      </c>
      <c r="H5" s="10" t="n">
        <v>14</v>
      </c>
      <c r="I5" s="4" t="n"/>
      <c r="J5" s="4" t="n"/>
      <c r="K5" s="24">
        <f>IFERROR(J5/I5,"")</f>
        <v/>
      </c>
      <c r="L5" s="10">
        <f>IFERROR(M5/J5,"")</f>
        <v/>
      </c>
      <c r="M5" s="10" t="n"/>
      <c r="N5" s="4" t="n"/>
      <c r="O5" s="24">
        <f>IFERROR(N5/J5,"")</f>
        <v/>
      </c>
      <c r="P5" s="10" t="n"/>
      <c r="Q5" s="24">
        <f>IFERROR(M5/P5,"")</f>
        <v/>
      </c>
      <c r="R5" s="28">
        <f>IFERROR(P5/M5,"")</f>
        <v/>
      </c>
      <c r="S5" s="4" t="n">
        <v>60</v>
      </c>
      <c r="T5" s="10" t="n">
        <v>14.99</v>
      </c>
      <c r="U5" s="4" t="inlineStr"/>
      <c r="V5" s="4" t="inlineStr">
        <is>
          <t>新建活动</t>
        </is>
      </c>
      <c r="W5" s="4" t="inlineStr">
        <is>
          <t>待观察</t>
        </is>
      </c>
      <c r="X5" s="4" t="n"/>
    </row>
    <row r="6" ht="38" customHeight="1">
      <c r="A6" s="29" t="n">
        <v>46233</v>
      </c>
      <c r="B6" s="6" t="inlineStr">
        <is>
          <t>SP-EX-Attributes-Profit</t>
        </is>
      </c>
      <c r="C6" s="6" t="inlineStr">
        <is>
          <t>Heavy Duty</t>
        </is>
      </c>
      <c r="D6" s="6" t="inlineStr">
        <is>
          <t>heavy duty bike lock</t>
        </is>
      </c>
      <c r="E6" s="6" t="inlineStr">
        <is>
          <t>精准</t>
        </is>
      </c>
      <c r="F6" s="6" t="inlineStr">
        <is>
          <t>盈利</t>
        </is>
      </c>
      <c r="G6" s="12" t="n">
        <v>0.78</v>
      </c>
      <c r="H6" s="12" t="n">
        <v>12</v>
      </c>
      <c r="I6" s="6" t="n"/>
      <c r="J6" s="6" t="n"/>
      <c r="K6" s="22">
        <f>IFERROR(J6/I6,"")</f>
        <v/>
      </c>
      <c r="L6" s="12">
        <f>IFERROR(M6/J6,"")</f>
        <v/>
      </c>
      <c r="M6" s="12" t="n"/>
      <c r="N6" s="6" t="n"/>
      <c r="O6" s="22">
        <f>IFERROR(N6/J6,"")</f>
        <v/>
      </c>
      <c r="P6" s="12" t="n"/>
      <c r="Q6" s="22">
        <f>IFERROR(M6/P6,"")</f>
        <v/>
      </c>
      <c r="R6" s="30">
        <f>IFERROR(P6/M6,"")</f>
        <v/>
      </c>
      <c r="S6" s="6" t="n"/>
      <c r="T6" s="12" t="n">
        <v>14.99</v>
      </c>
      <c r="U6" s="6" t="inlineStr"/>
      <c r="V6" s="6" t="inlineStr">
        <is>
          <t>新建活动</t>
        </is>
      </c>
      <c r="W6" s="6" t="inlineStr">
        <is>
          <t>待观察</t>
        </is>
      </c>
      <c r="X6" s="6" t="n"/>
    </row>
    <row r="7" ht="38" customHeight="1">
      <c r="A7" s="27" t="n">
        <v>46233</v>
      </c>
      <c r="B7" s="4" t="inlineStr">
        <is>
          <t>SP-EX-Ebike-Scooter</t>
        </is>
      </c>
      <c r="C7" s="4" t="inlineStr">
        <is>
          <t>Ebike</t>
        </is>
      </c>
      <c r="D7" s="4" t="inlineStr">
        <is>
          <t>electric bike lock</t>
        </is>
      </c>
      <c r="E7" s="4" t="inlineStr">
        <is>
          <t>精准</t>
        </is>
      </c>
      <c r="F7" s="4" t="inlineStr">
        <is>
          <t>增长</t>
        </is>
      </c>
      <c r="G7" s="10" t="n">
        <v>0.95</v>
      </c>
      <c r="H7" s="10" t="n">
        <v>7</v>
      </c>
      <c r="I7" s="4" t="n"/>
      <c r="J7" s="4" t="n"/>
      <c r="K7" s="24">
        <f>IFERROR(J7/I7,"")</f>
        <v/>
      </c>
      <c r="L7" s="10">
        <f>IFERROR(M7/J7,"")</f>
        <v/>
      </c>
      <c r="M7" s="10" t="n"/>
      <c r="N7" s="4" t="n"/>
      <c r="O7" s="24">
        <f>IFERROR(N7/J7,"")</f>
        <v/>
      </c>
      <c r="P7" s="10" t="n"/>
      <c r="Q7" s="24">
        <f>IFERROR(M7/P7,"")</f>
        <v/>
      </c>
      <c r="R7" s="28">
        <f>IFERROR(P7/M7,"")</f>
        <v/>
      </c>
      <c r="S7" s="4" t="n">
        <v>43</v>
      </c>
      <c r="T7" s="10" t="n">
        <v>14.99</v>
      </c>
      <c r="U7" s="4" t="inlineStr"/>
      <c r="V7" s="4" t="inlineStr">
        <is>
          <t>新建活动</t>
        </is>
      </c>
      <c r="W7" s="4" t="inlineStr">
        <is>
          <t>待观察</t>
        </is>
      </c>
      <c r="X7" s="4" t="n"/>
    </row>
    <row r="8" ht="38" customHeight="1">
      <c r="A8" s="29" t="n"/>
      <c r="B8" s="6" t="n"/>
      <c r="C8" s="6" t="n"/>
      <c r="D8" s="6" t="n"/>
      <c r="E8" s="6" t="n"/>
      <c r="F8" s="6" t="n"/>
      <c r="G8" s="12" t="n"/>
      <c r="H8" s="12" t="n"/>
      <c r="I8" s="6" t="n"/>
      <c r="J8" s="6" t="n"/>
      <c r="K8" s="22">
        <f>IFERROR(J8/I8,"")</f>
        <v/>
      </c>
      <c r="L8" s="12">
        <f>IFERROR(M8/J8,"")</f>
        <v/>
      </c>
      <c r="M8" s="12" t="n"/>
      <c r="N8" s="6" t="n"/>
      <c r="O8" s="22">
        <f>IFERROR(N8/J8,"")</f>
        <v/>
      </c>
      <c r="P8" s="12" t="n"/>
      <c r="Q8" s="22">
        <f>IFERROR(M8/P8,"")</f>
        <v/>
      </c>
      <c r="R8" s="30">
        <f>IFERROR(P8/M8,"")</f>
        <v/>
      </c>
      <c r="S8" s="6" t="n"/>
      <c r="T8" s="12" t="n"/>
      <c r="U8" s="6" t="n"/>
      <c r="V8" s="6" t="n"/>
      <c r="W8" s="6" t="n"/>
      <c r="X8" s="6" t="n"/>
    </row>
    <row r="9" ht="38" customHeight="1">
      <c r="A9" s="27" t="n"/>
      <c r="B9" s="4" t="n"/>
      <c r="C9" s="4" t="n"/>
      <c r="D9" s="4" t="n"/>
      <c r="E9" s="4" t="n"/>
      <c r="F9" s="4" t="n"/>
      <c r="G9" s="10" t="n"/>
      <c r="H9" s="10" t="n"/>
      <c r="I9" s="4" t="n"/>
      <c r="J9" s="4" t="n"/>
      <c r="K9" s="24">
        <f>IFERROR(J9/I9,"")</f>
        <v/>
      </c>
      <c r="L9" s="10">
        <f>IFERROR(M9/J9,"")</f>
        <v/>
      </c>
      <c r="M9" s="10" t="n"/>
      <c r="N9" s="4" t="n"/>
      <c r="O9" s="24">
        <f>IFERROR(N9/J9,"")</f>
        <v/>
      </c>
      <c r="P9" s="10" t="n"/>
      <c r="Q9" s="24">
        <f>IFERROR(M9/P9,"")</f>
        <v/>
      </c>
      <c r="R9" s="28">
        <f>IFERROR(P9/M9,"")</f>
        <v/>
      </c>
      <c r="S9" s="4" t="n"/>
      <c r="T9" s="10" t="n"/>
      <c r="U9" s="4" t="n"/>
      <c r="V9" s="4" t="n"/>
      <c r="W9" s="4" t="n"/>
      <c r="X9" s="4" t="n"/>
    </row>
    <row r="10" ht="38" customHeight="1">
      <c r="A10" s="29" t="n"/>
      <c r="B10" s="6" t="n"/>
      <c r="C10" s="6" t="n"/>
      <c r="D10" s="6" t="n"/>
      <c r="E10" s="6" t="n"/>
      <c r="F10" s="6" t="n"/>
      <c r="G10" s="12" t="n"/>
      <c r="H10" s="12" t="n"/>
      <c r="I10" s="6" t="n"/>
      <c r="J10" s="6" t="n"/>
      <c r="K10" s="22">
        <f>IFERROR(J10/I10,"")</f>
        <v/>
      </c>
      <c r="L10" s="12">
        <f>IFERROR(M10/J10,"")</f>
        <v/>
      </c>
      <c r="M10" s="12" t="n"/>
      <c r="N10" s="6" t="n"/>
      <c r="O10" s="22">
        <f>IFERROR(N10/J10,"")</f>
        <v/>
      </c>
      <c r="P10" s="12" t="n"/>
      <c r="Q10" s="22">
        <f>IFERROR(M10/P10,"")</f>
        <v/>
      </c>
      <c r="R10" s="30">
        <f>IFERROR(P10/M10,"")</f>
        <v/>
      </c>
      <c r="S10" s="6" t="n"/>
      <c r="T10" s="12" t="n"/>
      <c r="U10" s="6" t="n"/>
      <c r="V10" s="6" t="n"/>
      <c r="W10" s="6" t="n"/>
      <c r="X10" s="6" t="n"/>
    </row>
    <row r="11" ht="38" customHeight="1">
      <c r="A11" s="27" t="n"/>
      <c r="B11" s="4" t="n"/>
      <c r="C11" s="4" t="n"/>
      <c r="D11" s="4" t="n"/>
      <c r="E11" s="4" t="n"/>
      <c r="F11" s="4" t="n"/>
      <c r="G11" s="10" t="n"/>
      <c r="H11" s="10" t="n"/>
      <c r="I11" s="4" t="n"/>
      <c r="J11" s="4" t="n"/>
      <c r="K11" s="24">
        <f>IFERROR(J11/I11,"")</f>
        <v/>
      </c>
      <c r="L11" s="10">
        <f>IFERROR(M11/J11,"")</f>
        <v/>
      </c>
      <c r="M11" s="10" t="n"/>
      <c r="N11" s="4" t="n"/>
      <c r="O11" s="24">
        <f>IFERROR(N11/J11,"")</f>
        <v/>
      </c>
      <c r="P11" s="10" t="n"/>
      <c r="Q11" s="24">
        <f>IFERROR(M11/P11,"")</f>
        <v/>
      </c>
      <c r="R11" s="28">
        <f>IFERROR(P11/M11,"")</f>
        <v/>
      </c>
      <c r="S11" s="4" t="n"/>
      <c r="T11" s="10" t="n"/>
      <c r="U11" s="4" t="n"/>
      <c r="V11" s="4" t="n"/>
      <c r="W11" s="4" t="n"/>
      <c r="X11" s="4" t="n"/>
    </row>
    <row r="12" ht="38" customHeight="1">
      <c r="A12" s="29" t="n"/>
      <c r="B12" s="6" t="n"/>
      <c r="C12" s="6" t="n"/>
      <c r="D12" s="6" t="n"/>
      <c r="E12" s="6" t="n"/>
      <c r="F12" s="6" t="n"/>
      <c r="G12" s="12" t="n"/>
      <c r="H12" s="12" t="n"/>
      <c r="I12" s="6" t="n"/>
      <c r="J12" s="6" t="n"/>
      <c r="K12" s="22">
        <f>IFERROR(J12/I12,"")</f>
        <v/>
      </c>
      <c r="L12" s="12">
        <f>IFERROR(M12/J12,"")</f>
        <v/>
      </c>
      <c r="M12" s="12" t="n"/>
      <c r="N12" s="6" t="n"/>
      <c r="O12" s="22">
        <f>IFERROR(N12/J12,"")</f>
        <v/>
      </c>
      <c r="P12" s="12" t="n"/>
      <c r="Q12" s="22">
        <f>IFERROR(M12/P12,"")</f>
        <v/>
      </c>
      <c r="R12" s="30">
        <f>IFERROR(P12/M12,"")</f>
        <v/>
      </c>
      <c r="S12" s="6" t="n"/>
      <c r="T12" s="12" t="n"/>
      <c r="U12" s="6" t="n"/>
      <c r="V12" s="6" t="n"/>
      <c r="W12" s="6" t="n"/>
      <c r="X12" s="6" t="n"/>
    </row>
    <row r="13" ht="38" customHeight="1">
      <c r="A13" s="27" t="n"/>
      <c r="B13" s="4" t="n"/>
      <c r="C13" s="4" t="n"/>
      <c r="D13" s="4" t="n"/>
      <c r="E13" s="4" t="n"/>
      <c r="F13" s="4" t="n"/>
      <c r="G13" s="10" t="n"/>
      <c r="H13" s="10" t="n"/>
      <c r="I13" s="4" t="n"/>
      <c r="J13" s="4" t="n"/>
      <c r="K13" s="24">
        <f>IFERROR(J13/I13,"")</f>
        <v/>
      </c>
      <c r="L13" s="10">
        <f>IFERROR(M13/J13,"")</f>
        <v/>
      </c>
      <c r="M13" s="10" t="n"/>
      <c r="N13" s="4" t="n"/>
      <c r="O13" s="24">
        <f>IFERROR(N13/J13,"")</f>
        <v/>
      </c>
      <c r="P13" s="10" t="n"/>
      <c r="Q13" s="24">
        <f>IFERROR(M13/P13,"")</f>
        <v/>
      </c>
      <c r="R13" s="28">
        <f>IFERROR(P13/M13,"")</f>
        <v/>
      </c>
      <c r="S13" s="4" t="n"/>
      <c r="T13" s="10" t="n"/>
      <c r="U13" s="4" t="n"/>
      <c r="V13" s="4" t="n"/>
      <c r="W13" s="4" t="n"/>
      <c r="X13" s="4" t="n"/>
    </row>
    <row r="14" ht="38" customHeight="1">
      <c r="A14" s="29" t="n"/>
      <c r="B14" s="6" t="n"/>
      <c r="C14" s="6" t="n"/>
      <c r="D14" s="6" t="n"/>
      <c r="E14" s="6" t="n"/>
      <c r="F14" s="6" t="n"/>
      <c r="G14" s="12" t="n"/>
      <c r="H14" s="12" t="n"/>
      <c r="I14" s="6" t="n"/>
      <c r="J14" s="6" t="n"/>
      <c r="K14" s="22">
        <f>IFERROR(J14/I14,"")</f>
        <v/>
      </c>
      <c r="L14" s="12">
        <f>IFERROR(M14/J14,"")</f>
        <v/>
      </c>
      <c r="M14" s="12" t="n"/>
      <c r="N14" s="6" t="n"/>
      <c r="O14" s="22">
        <f>IFERROR(N14/J14,"")</f>
        <v/>
      </c>
      <c r="P14" s="12" t="n"/>
      <c r="Q14" s="22">
        <f>IFERROR(M14/P14,"")</f>
        <v/>
      </c>
      <c r="R14" s="30">
        <f>IFERROR(P14/M14,"")</f>
        <v/>
      </c>
      <c r="S14" s="6" t="n"/>
      <c r="T14" s="12" t="n"/>
      <c r="U14" s="6" t="n"/>
      <c r="V14" s="6" t="n"/>
      <c r="W14" s="6" t="n"/>
      <c r="X14" s="6" t="n"/>
    </row>
    <row r="15" ht="38" customHeight="1">
      <c r="A15" s="27" t="n"/>
      <c r="B15" s="4" t="n"/>
      <c r="C15" s="4" t="n"/>
      <c r="D15" s="4" t="n"/>
      <c r="E15" s="4" t="n"/>
      <c r="F15" s="4" t="n"/>
      <c r="G15" s="10" t="n"/>
      <c r="H15" s="10" t="n"/>
      <c r="I15" s="4" t="n"/>
      <c r="J15" s="4" t="n"/>
      <c r="K15" s="24">
        <f>IFERROR(J15/I15,"")</f>
        <v/>
      </c>
      <c r="L15" s="10">
        <f>IFERROR(M15/J15,"")</f>
        <v/>
      </c>
      <c r="M15" s="10" t="n"/>
      <c r="N15" s="4" t="n"/>
      <c r="O15" s="24">
        <f>IFERROR(N15/J15,"")</f>
        <v/>
      </c>
      <c r="P15" s="10" t="n"/>
      <c r="Q15" s="24">
        <f>IFERROR(M15/P15,"")</f>
        <v/>
      </c>
      <c r="R15" s="28">
        <f>IFERROR(P15/M15,"")</f>
        <v/>
      </c>
      <c r="S15" s="4" t="n"/>
      <c r="T15" s="10" t="n"/>
      <c r="U15" s="4" t="n"/>
      <c r="V15" s="4" t="n"/>
      <c r="W15" s="4" t="n"/>
      <c r="X15" s="4" t="n"/>
    </row>
    <row r="16" ht="38" customHeight="1">
      <c r="A16" s="29" t="n"/>
      <c r="B16" s="6" t="n"/>
      <c r="C16" s="6" t="n"/>
      <c r="D16" s="6" t="n"/>
      <c r="E16" s="6" t="n"/>
      <c r="F16" s="6" t="n"/>
      <c r="G16" s="12" t="n"/>
      <c r="H16" s="12" t="n"/>
      <c r="I16" s="6" t="n"/>
      <c r="J16" s="6" t="n"/>
      <c r="K16" s="22">
        <f>IFERROR(J16/I16,"")</f>
        <v/>
      </c>
      <c r="L16" s="12">
        <f>IFERROR(M16/J16,"")</f>
        <v/>
      </c>
      <c r="M16" s="12" t="n"/>
      <c r="N16" s="6" t="n"/>
      <c r="O16" s="22">
        <f>IFERROR(N16/J16,"")</f>
        <v/>
      </c>
      <c r="P16" s="12" t="n"/>
      <c r="Q16" s="22">
        <f>IFERROR(M16/P16,"")</f>
        <v/>
      </c>
      <c r="R16" s="30">
        <f>IFERROR(P16/M16,"")</f>
        <v/>
      </c>
      <c r="S16" s="6" t="n"/>
      <c r="T16" s="12" t="n"/>
      <c r="U16" s="6" t="n"/>
      <c r="V16" s="6" t="n"/>
      <c r="W16" s="6" t="n"/>
      <c r="X16" s="6" t="n"/>
    </row>
    <row r="17" ht="38" customHeight="1">
      <c r="A17" s="27" t="n"/>
      <c r="B17" s="4" t="n"/>
      <c r="C17" s="4" t="n"/>
      <c r="D17" s="4" t="n"/>
      <c r="E17" s="4" t="n"/>
      <c r="F17" s="4" t="n"/>
      <c r="G17" s="10" t="n"/>
      <c r="H17" s="10" t="n"/>
      <c r="I17" s="4" t="n"/>
      <c r="J17" s="4" t="n"/>
      <c r="K17" s="24">
        <f>IFERROR(J17/I17,"")</f>
        <v/>
      </c>
      <c r="L17" s="10">
        <f>IFERROR(M17/J17,"")</f>
        <v/>
      </c>
      <c r="M17" s="10" t="n"/>
      <c r="N17" s="4" t="n"/>
      <c r="O17" s="24">
        <f>IFERROR(N17/J17,"")</f>
        <v/>
      </c>
      <c r="P17" s="10" t="n"/>
      <c r="Q17" s="24">
        <f>IFERROR(M17/P17,"")</f>
        <v/>
      </c>
      <c r="R17" s="28">
        <f>IFERROR(P17/M17,"")</f>
        <v/>
      </c>
      <c r="S17" s="4" t="n"/>
      <c r="T17" s="10" t="n"/>
      <c r="U17" s="4" t="n"/>
      <c r="V17" s="4" t="n"/>
      <c r="W17" s="4" t="n"/>
      <c r="X17" s="4" t="n"/>
    </row>
    <row r="18" ht="38" customHeight="1">
      <c r="A18" s="29" t="n"/>
      <c r="B18" s="6" t="n"/>
      <c r="C18" s="6" t="n"/>
      <c r="D18" s="6" t="n"/>
      <c r="E18" s="6" t="n"/>
      <c r="F18" s="6" t="n"/>
      <c r="G18" s="12" t="n"/>
      <c r="H18" s="12" t="n"/>
      <c r="I18" s="6" t="n"/>
      <c r="J18" s="6" t="n"/>
      <c r="K18" s="22">
        <f>IFERROR(J18/I18,"")</f>
        <v/>
      </c>
      <c r="L18" s="12">
        <f>IFERROR(M18/J18,"")</f>
        <v/>
      </c>
      <c r="M18" s="12" t="n"/>
      <c r="N18" s="6" t="n"/>
      <c r="O18" s="22">
        <f>IFERROR(N18/J18,"")</f>
        <v/>
      </c>
      <c r="P18" s="12" t="n"/>
      <c r="Q18" s="22">
        <f>IFERROR(M18/P18,"")</f>
        <v/>
      </c>
      <c r="R18" s="30">
        <f>IFERROR(P18/M18,"")</f>
        <v/>
      </c>
      <c r="S18" s="6" t="n"/>
      <c r="T18" s="12" t="n"/>
      <c r="U18" s="6" t="n"/>
      <c r="V18" s="6" t="n"/>
      <c r="W18" s="6" t="n"/>
      <c r="X18" s="6" t="n"/>
    </row>
    <row r="19" ht="38" customHeight="1">
      <c r="A19" s="27" t="n"/>
      <c r="B19" s="4" t="n"/>
      <c r="C19" s="4" t="n"/>
      <c r="D19" s="4" t="n"/>
      <c r="E19" s="4" t="n"/>
      <c r="F19" s="4" t="n"/>
      <c r="G19" s="10" t="n"/>
      <c r="H19" s="10" t="n"/>
      <c r="I19" s="4" t="n"/>
      <c r="J19" s="4" t="n"/>
      <c r="K19" s="24">
        <f>IFERROR(J19/I19,"")</f>
        <v/>
      </c>
      <c r="L19" s="10">
        <f>IFERROR(M19/J19,"")</f>
        <v/>
      </c>
      <c r="M19" s="10" t="n"/>
      <c r="N19" s="4" t="n"/>
      <c r="O19" s="24">
        <f>IFERROR(N19/J19,"")</f>
        <v/>
      </c>
      <c r="P19" s="10" t="n"/>
      <c r="Q19" s="24">
        <f>IFERROR(M19/P19,"")</f>
        <v/>
      </c>
      <c r="R19" s="28">
        <f>IFERROR(P19/M19,"")</f>
        <v/>
      </c>
      <c r="S19" s="4" t="n"/>
      <c r="T19" s="10" t="n"/>
      <c r="U19" s="4" t="n"/>
      <c r="V19" s="4" t="n"/>
      <c r="W19" s="4" t="n"/>
      <c r="X19" s="4" t="n"/>
    </row>
    <row r="20" ht="38" customHeight="1">
      <c r="A20" s="29" t="n"/>
      <c r="B20" s="6" t="n"/>
      <c r="C20" s="6" t="n"/>
      <c r="D20" s="6" t="n"/>
      <c r="E20" s="6" t="n"/>
      <c r="F20" s="6" t="n"/>
      <c r="G20" s="12" t="n"/>
      <c r="H20" s="12" t="n"/>
      <c r="I20" s="6" t="n"/>
      <c r="J20" s="6" t="n"/>
      <c r="K20" s="22">
        <f>IFERROR(J20/I20,"")</f>
        <v/>
      </c>
      <c r="L20" s="12">
        <f>IFERROR(M20/J20,"")</f>
        <v/>
      </c>
      <c r="M20" s="12" t="n"/>
      <c r="N20" s="6" t="n"/>
      <c r="O20" s="22">
        <f>IFERROR(N20/J20,"")</f>
        <v/>
      </c>
      <c r="P20" s="12" t="n"/>
      <c r="Q20" s="22">
        <f>IFERROR(M20/P20,"")</f>
        <v/>
      </c>
      <c r="R20" s="30">
        <f>IFERROR(P20/M20,"")</f>
        <v/>
      </c>
      <c r="S20" s="6" t="n"/>
      <c r="T20" s="12" t="n"/>
      <c r="U20" s="6" t="n"/>
      <c r="V20" s="6" t="n"/>
      <c r="W20" s="6" t="n"/>
      <c r="X20" s="6" t="n"/>
    </row>
    <row r="21" ht="38" customHeight="1">
      <c r="A21" s="27" t="n"/>
      <c r="B21" s="4" t="n"/>
      <c r="C21" s="4" t="n"/>
      <c r="D21" s="4" t="n"/>
      <c r="E21" s="4" t="n"/>
      <c r="F21" s="4" t="n"/>
      <c r="G21" s="10" t="n"/>
      <c r="H21" s="10" t="n"/>
      <c r="I21" s="4" t="n"/>
      <c r="J21" s="4" t="n"/>
      <c r="K21" s="24">
        <f>IFERROR(J21/I21,"")</f>
        <v/>
      </c>
      <c r="L21" s="10">
        <f>IFERROR(M21/J21,"")</f>
        <v/>
      </c>
      <c r="M21" s="10" t="n"/>
      <c r="N21" s="4" t="n"/>
      <c r="O21" s="24">
        <f>IFERROR(N21/J21,"")</f>
        <v/>
      </c>
      <c r="P21" s="10" t="n"/>
      <c r="Q21" s="24">
        <f>IFERROR(M21/P21,"")</f>
        <v/>
      </c>
      <c r="R21" s="28">
        <f>IFERROR(P21/M21,"")</f>
        <v/>
      </c>
      <c r="S21" s="4" t="n"/>
      <c r="T21" s="10" t="n"/>
      <c r="U21" s="4" t="n"/>
      <c r="V21" s="4" t="n"/>
      <c r="W21" s="4" t="n"/>
      <c r="X21" s="4" t="n"/>
    </row>
    <row r="22" ht="38" customHeight="1">
      <c r="A22" s="29" t="n"/>
      <c r="B22" s="6" t="n"/>
      <c r="C22" s="6" t="n"/>
      <c r="D22" s="6" t="n"/>
      <c r="E22" s="6" t="n"/>
      <c r="F22" s="6" t="n"/>
      <c r="G22" s="12" t="n"/>
      <c r="H22" s="12" t="n"/>
      <c r="I22" s="6" t="n"/>
      <c r="J22" s="6" t="n"/>
      <c r="K22" s="22">
        <f>IFERROR(J22/I22,"")</f>
        <v/>
      </c>
      <c r="L22" s="12">
        <f>IFERROR(M22/J22,"")</f>
        <v/>
      </c>
      <c r="M22" s="12" t="n"/>
      <c r="N22" s="6" t="n"/>
      <c r="O22" s="22">
        <f>IFERROR(N22/J22,"")</f>
        <v/>
      </c>
      <c r="P22" s="12" t="n"/>
      <c r="Q22" s="22">
        <f>IFERROR(M22/P22,"")</f>
        <v/>
      </c>
      <c r="R22" s="30">
        <f>IFERROR(P22/M22,"")</f>
        <v/>
      </c>
      <c r="S22" s="6" t="n"/>
      <c r="T22" s="12" t="n"/>
      <c r="U22" s="6" t="n"/>
      <c r="V22" s="6" t="n"/>
      <c r="W22" s="6" t="n"/>
      <c r="X22" s="6" t="n"/>
    </row>
    <row r="23" ht="38" customHeight="1">
      <c r="A23" s="27" t="n"/>
      <c r="B23" s="4" t="n"/>
      <c r="C23" s="4" t="n"/>
      <c r="D23" s="4" t="n"/>
      <c r="E23" s="4" t="n"/>
      <c r="F23" s="4" t="n"/>
      <c r="G23" s="10" t="n"/>
      <c r="H23" s="10" t="n"/>
      <c r="I23" s="4" t="n"/>
      <c r="J23" s="4" t="n"/>
      <c r="K23" s="24">
        <f>IFERROR(J23/I23,"")</f>
        <v/>
      </c>
      <c r="L23" s="10">
        <f>IFERROR(M23/J23,"")</f>
        <v/>
      </c>
      <c r="M23" s="10" t="n"/>
      <c r="N23" s="4" t="n"/>
      <c r="O23" s="24">
        <f>IFERROR(N23/J23,"")</f>
        <v/>
      </c>
      <c r="P23" s="10" t="n"/>
      <c r="Q23" s="24">
        <f>IFERROR(M23/P23,"")</f>
        <v/>
      </c>
      <c r="R23" s="28">
        <f>IFERROR(P23/M23,"")</f>
        <v/>
      </c>
      <c r="S23" s="4" t="n"/>
      <c r="T23" s="10" t="n"/>
      <c r="U23" s="4" t="n"/>
      <c r="V23" s="4" t="n"/>
      <c r="W23" s="4" t="n"/>
      <c r="X23" s="4" t="n"/>
    </row>
    <row r="24" ht="38" customHeight="1">
      <c r="A24" s="29" t="n"/>
      <c r="B24" s="6" t="n"/>
      <c r="C24" s="6" t="n"/>
      <c r="D24" s="6" t="n"/>
      <c r="E24" s="6" t="n"/>
      <c r="F24" s="6" t="n"/>
      <c r="G24" s="12" t="n"/>
      <c r="H24" s="12" t="n"/>
      <c r="I24" s="6" t="n"/>
      <c r="J24" s="6" t="n"/>
      <c r="K24" s="22">
        <f>IFERROR(J24/I24,"")</f>
        <v/>
      </c>
      <c r="L24" s="12">
        <f>IFERROR(M24/J24,"")</f>
        <v/>
      </c>
      <c r="M24" s="12" t="n"/>
      <c r="N24" s="6" t="n"/>
      <c r="O24" s="22">
        <f>IFERROR(N24/J24,"")</f>
        <v/>
      </c>
      <c r="P24" s="12" t="n"/>
      <c r="Q24" s="22">
        <f>IFERROR(M24/P24,"")</f>
        <v/>
      </c>
      <c r="R24" s="30">
        <f>IFERROR(P24/M24,"")</f>
        <v/>
      </c>
      <c r="S24" s="6" t="n"/>
      <c r="T24" s="12" t="n"/>
      <c r="U24" s="6" t="n"/>
      <c r="V24" s="6" t="n"/>
      <c r="W24" s="6" t="n"/>
      <c r="X24" s="6" t="n"/>
    </row>
    <row r="25" ht="38" customHeight="1">
      <c r="A25" s="27" t="n"/>
      <c r="B25" s="4" t="n"/>
      <c r="C25" s="4" t="n"/>
      <c r="D25" s="4" t="n"/>
      <c r="E25" s="4" t="n"/>
      <c r="F25" s="4" t="n"/>
      <c r="G25" s="10" t="n"/>
      <c r="H25" s="10" t="n"/>
      <c r="I25" s="4" t="n"/>
      <c r="J25" s="4" t="n"/>
      <c r="K25" s="24">
        <f>IFERROR(J25/I25,"")</f>
        <v/>
      </c>
      <c r="L25" s="10">
        <f>IFERROR(M25/J25,"")</f>
        <v/>
      </c>
      <c r="M25" s="10" t="n"/>
      <c r="N25" s="4" t="n"/>
      <c r="O25" s="24">
        <f>IFERROR(N25/J25,"")</f>
        <v/>
      </c>
      <c r="P25" s="10" t="n"/>
      <c r="Q25" s="24">
        <f>IFERROR(M25/P25,"")</f>
        <v/>
      </c>
      <c r="R25" s="28">
        <f>IFERROR(P25/M25,"")</f>
        <v/>
      </c>
      <c r="S25" s="4" t="n"/>
      <c r="T25" s="10" t="n"/>
      <c r="U25" s="4" t="n"/>
      <c r="V25" s="4" t="n"/>
      <c r="W25" s="4" t="n"/>
      <c r="X25" s="4" t="n"/>
    </row>
    <row r="26" ht="38" customHeight="1">
      <c r="A26" s="29" t="n"/>
      <c r="B26" s="6" t="n"/>
      <c r="C26" s="6" t="n"/>
      <c r="D26" s="6" t="n"/>
      <c r="E26" s="6" t="n"/>
      <c r="F26" s="6" t="n"/>
      <c r="G26" s="12" t="n"/>
      <c r="H26" s="12" t="n"/>
      <c r="I26" s="6" t="n"/>
      <c r="J26" s="6" t="n"/>
      <c r="K26" s="22">
        <f>IFERROR(J26/I26,"")</f>
        <v/>
      </c>
      <c r="L26" s="12">
        <f>IFERROR(M26/J26,"")</f>
        <v/>
      </c>
      <c r="M26" s="12" t="n"/>
      <c r="N26" s="6" t="n"/>
      <c r="O26" s="22">
        <f>IFERROR(N26/J26,"")</f>
        <v/>
      </c>
      <c r="P26" s="12" t="n"/>
      <c r="Q26" s="22">
        <f>IFERROR(M26/P26,"")</f>
        <v/>
      </c>
      <c r="R26" s="30">
        <f>IFERROR(P26/M26,"")</f>
        <v/>
      </c>
      <c r="S26" s="6" t="n"/>
      <c r="T26" s="12" t="n"/>
      <c r="U26" s="6" t="n"/>
      <c r="V26" s="6" t="n"/>
      <c r="W26" s="6" t="n"/>
      <c r="X26" s="6" t="n"/>
    </row>
    <row r="27" ht="38" customHeight="1">
      <c r="A27" s="27" t="n"/>
      <c r="B27" s="4" t="n"/>
      <c r="C27" s="4" t="n"/>
      <c r="D27" s="4" t="n"/>
      <c r="E27" s="4" t="n"/>
      <c r="F27" s="4" t="n"/>
      <c r="G27" s="10" t="n"/>
      <c r="H27" s="10" t="n"/>
      <c r="I27" s="4" t="n"/>
      <c r="J27" s="4" t="n"/>
      <c r="K27" s="24">
        <f>IFERROR(J27/I27,"")</f>
        <v/>
      </c>
      <c r="L27" s="10">
        <f>IFERROR(M27/J27,"")</f>
        <v/>
      </c>
      <c r="M27" s="10" t="n"/>
      <c r="N27" s="4" t="n"/>
      <c r="O27" s="24">
        <f>IFERROR(N27/J27,"")</f>
        <v/>
      </c>
      <c r="P27" s="10" t="n"/>
      <c r="Q27" s="24">
        <f>IFERROR(M27/P27,"")</f>
        <v/>
      </c>
      <c r="R27" s="28">
        <f>IFERROR(P27/M27,"")</f>
        <v/>
      </c>
      <c r="S27" s="4" t="n"/>
      <c r="T27" s="10" t="n"/>
      <c r="U27" s="4" t="n"/>
      <c r="V27" s="4" t="n"/>
      <c r="W27" s="4" t="n"/>
      <c r="X27" s="4" t="n"/>
    </row>
    <row r="28" ht="38" customHeight="1">
      <c r="A28" s="29" t="n"/>
      <c r="B28" s="6" t="n"/>
      <c r="C28" s="6" t="n"/>
      <c r="D28" s="6" t="n"/>
      <c r="E28" s="6" t="n"/>
      <c r="F28" s="6" t="n"/>
      <c r="G28" s="12" t="n"/>
      <c r="H28" s="12" t="n"/>
      <c r="I28" s="6" t="n"/>
      <c r="J28" s="6" t="n"/>
      <c r="K28" s="22">
        <f>IFERROR(J28/I28,"")</f>
        <v/>
      </c>
      <c r="L28" s="12">
        <f>IFERROR(M28/J28,"")</f>
        <v/>
      </c>
      <c r="M28" s="12" t="n"/>
      <c r="N28" s="6" t="n"/>
      <c r="O28" s="22">
        <f>IFERROR(N28/J28,"")</f>
        <v/>
      </c>
      <c r="P28" s="12" t="n"/>
      <c r="Q28" s="22">
        <f>IFERROR(M28/P28,"")</f>
        <v/>
      </c>
      <c r="R28" s="30">
        <f>IFERROR(P28/M28,"")</f>
        <v/>
      </c>
      <c r="S28" s="6" t="n"/>
      <c r="T28" s="12" t="n"/>
      <c r="U28" s="6" t="n"/>
      <c r="V28" s="6" t="n"/>
      <c r="W28" s="6" t="n"/>
      <c r="X28" s="6" t="n"/>
    </row>
    <row r="29" ht="38" customHeight="1">
      <c r="A29" s="27" t="n"/>
      <c r="B29" s="4" t="n"/>
      <c r="C29" s="4" t="n"/>
      <c r="D29" s="4" t="n"/>
      <c r="E29" s="4" t="n"/>
      <c r="F29" s="4" t="n"/>
      <c r="G29" s="10" t="n"/>
      <c r="H29" s="10" t="n"/>
      <c r="I29" s="4" t="n"/>
      <c r="J29" s="4" t="n"/>
      <c r="K29" s="24">
        <f>IFERROR(J29/I29,"")</f>
        <v/>
      </c>
      <c r="L29" s="10">
        <f>IFERROR(M29/J29,"")</f>
        <v/>
      </c>
      <c r="M29" s="10" t="n"/>
      <c r="N29" s="4" t="n"/>
      <c r="O29" s="24">
        <f>IFERROR(N29/J29,"")</f>
        <v/>
      </c>
      <c r="P29" s="10" t="n"/>
      <c r="Q29" s="24">
        <f>IFERROR(M29/P29,"")</f>
        <v/>
      </c>
      <c r="R29" s="28">
        <f>IFERROR(P29/M29,"")</f>
        <v/>
      </c>
      <c r="S29" s="4" t="n"/>
      <c r="T29" s="10" t="n"/>
      <c r="U29" s="4" t="n"/>
      <c r="V29" s="4" t="n"/>
      <c r="W29" s="4" t="n"/>
      <c r="X29" s="4" t="n"/>
    </row>
    <row r="30" ht="38" customHeight="1">
      <c r="A30" s="29" t="n"/>
      <c r="B30" s="6" t="n"/>
      <c r="C30" s="6" t="n"/>
      <c r="D30" s="6" t="n"/>
      <c r="E30" s="6" t="n"/>
      <c r="F30" s="6" t="n"/>
      <c r="G30" s="12" t="n"/>
      <c r="H30" s="12" t="n"/>
      <c r="I30" s="6" t="n"/>
      <c r="J30" s="6" t="n"/>
      <c r="K30" s="22">
        <f>IFERROR(J30/I30,"")</f>
        <v/>
      </c>
      <c r="L30" s="12">
        <f>IFERROR(M30/J30,"")</f>
        <v/>
      </c>
      <c r="M30" s="12" t="n"/>
      <c r="N30" s="6" t="n"/>
      <c r="O30" s="22">
        <f>IFERROR(N30/J30,"")</f>
        <v/>
      </c>
      <c r="P30" s="12" t="n"/>
      <c r="Q30" s="22">
        <f>IFERROR(M30/P30,"")</f>
        <v/>
      </c>
      <c r="R30" s="30">
        <f>IFERROR(P30/M30,"")</f>
        <v/>
      </c>
      <c r="S30" s="6" t="n"/>
      <c r="T30" s="12" t="n"/>
      <c r="U30" s="6" t="n"/>
      <c r="V30" s="6" t="n"/>
      <c r="W30" s="6" t="n"/>
      <c r="X30" s="6" t="n"/>
    </row>
    <row r="31" ht="38" customHeight="1">
      <c r="A31" s="27" t="n"/>
      <c r="B31" s="4" t="n"/>
      <c r="C31" s="4" t="n"/>
      <c r="D31" s="4" t="n"/>
      <c r="E31" s="4" t="n"/>
      <c r="F31" s="4" t="n"/>
      <c r="G31" s="10" t="n"/>
      <c r="H31" s="10" t="n"/>
      <c r="I31" s="4" t="n"/>
      <c r="J31" s="4" t="n"/>
      <c r="K31" s="24">
        <f>IFERROR(J31/I31,"")</f>
        <v/>
      </c>
      <c r="L31" s="10">
        <f>IFERROR(M31/J31,"")</f>
        <v/>
      </c>
      <c r="M31" s="10" t="n"/>
      <c r="N31" s="4" t="n"/>
      <c r="O31" s="24">
        <f>IFERROR(N31/J31,"")</f>
        <v/>
      </c>
      <c r="P31" s="10" t="n"/>
      <c r="Q31" s="24">
        <f>IFERROR(M31/P31,"")</f>
        <v/>
      </c>
      <c r="R31" s="28">
        <f>IFERROR(P31/M31,"")</f>
        <v/>
      </c>
      <c r="S31" s="4" t="n"/>
      <c r="T31" s="10" t="n"/>
      <c r="U31" s="4" t="n"/>
      <c r="V31" s="4" t="n"/>
      <c r="W31" s="4" t="n"/>
      <c r="X31" s="4" t="n"/>
    </row>
    <row r="32" ht="38" customHeight="1">
      <c r="A32" s="29" t="n"/>
      <c r="B32" s="6" t="n"/>
      <c r="C32" s="6" t="n"/>
      <c r="D32" s="6" t="n"/>
      <c r="E32" s="6" t="n"/>
      <c r="F32" s="6" t="n"/>
      <c r="G32" s="12" t="n"/>
      <c r="H32" s="12" t="n"/>
      <c r="I32" s="6" t="n"/>
      <c r="J32" s="6" t="n"/>
      <c r="K32" s="22">
        <f>IFERROR(J32/I32,"")</f>
        <v/>
      </c>
      <c r="L32" s="12">
        <f>IFERROR(M32/J32,"")</f>
        <v/>
      </c>
      <c r="M32" s="12" t="n"/>
      <c r="N32" s="6" t="n"/>
      <c r="O32" s="22">
        <f>IFERROR(N32/J32,"")</f>
        <v/>
      </c>
      <c r="P32" s="12" t="n"/>
      <c r="Q32" s="22">
        <f>IFERROR(M32/P32,"")</f>
        <v/>
      </c>
      <c r="R32" s="30">
        <f>IFERROR(P32/M32,"")</f>
        <v/>
      </c>
      <c r="S32" s="6" t="n"/>
      <c r="T32" s="12" t="n"/>
      <c r="U32" s="6" t="n"/>
      <c r="V32" s="6" t="n"/>
      <c r="W32" s="6" t="n"/>
      <c r="X32" s="6" t="n"/>
    </row>
    <row r="33" ht="38" customHeight="1">
      <c r="A33" s="27" t="n"/>
      <c r="B33" s="4" t="n"/>
      <c r="C33" s="4" t="n"/>
      <c r="D33" s="4" t="n"/>
      <c r="E33" s="4" t="n"/>
      <c r="F33" s="4" t="n"/>
      <c r="G33" s="10" t="n"/>
      <c r="H33" s="10" t="n"/>
      <c r="I33" s="4" t="n"/>
      <c r="J33" s="4" t="n"/>
      <c r="K33" s="24">
        <f>IFERROR(J33/I33,"")</f>
        <v/>
      </c>
      <c r="L33" s="10">
        <f>IFERROR(M33/J33,"")</f>
        <v/>
      </c>
      <c r="M33" s="10" t="n"/>
      <c r="N33" s="4" t="n"/>
      <c r="O33" s="24">
        <f>IFERROR(N33/J33,"")</f>
        <v/>
      </c>
      <c r="P33" s="10" t="n"/>
      <c r="Q33" s="24">
        <f>IFERROR(M33/P33,"")</f>
        <v/>
      </c>
      <c r="R33" s="28">
        <f>IFERROR(P33/M33,"")</f>
        <v/>
      </c>
      <c r="S33" s="4" t="n"/>
      <c r="T33" s="10" t="n"/>
      <c r="U33" s="4" t="n"/>
      <c r="V33" s="4" t="n"/>
      <c r="W33" s="4" t="n"/>
      <c r="X33" s="4" t="n"/>
    </row>
    <row r="34" ht="38" customHeight="1">
      <c r="A34" s="29" t="n"/>
      <c r="B34" s="6" t="n"/>
      <c r="C34" s="6" t="n"/>
      <c r="D34" s="6" t="n"/>
      <c r="E34" s="6" t="n"/>
      <c r="F34" s="6" t="n"/>
      <c r="G34" s="12" t="n"/>
      <c r="H34" s="12" t="n"/>
      <c r="I34" s="6" t="n"/>
      <c r="J34" s="6" t="n"/>
      <c r="K34" s="22">
        <f>IFERROR(J34/I34,"")</f>
        <v/>
      </c>
      <c r="L34" s="12">
        <f>IFERROR(M34/J34,"")</f>
        <v/>
      </c>
      <c r="M34" s="12" t="n"/>
      <c r="N34" s="6" t="n"/>
      <c r="O34" s="22">
        <f>IFERROR(N34/J34,"")</f>
        <v/>
      </c>
      <c r="P34" s="12" t="n"/>
      <c r="Q34" s="22">
        <f>IFERROR(M34/P34,"")</f>
        <v/>
      </c>
      <c r="R34" s="30">
        <f>IFERROR(P34/M34,"")</f>
        <v/>
      </c>
      <c r="S34" s="6" t="n"/>
      <c r="T34" s="12" t="n"/>
      <c r="U34" s="6" t="n"/>
      <c r="V34" s="6" t="n"/>
      <c r="W34" s="6" t="n"/>
      <c r="X34" s="6" t="n"/>
    </row>
    <row r="35" ht="38" customHeight="1">
      <c r="A35" s="27" t="n"/>
      <c r="B35" s="4" t="n"/>
      <c r="C35" s="4" t="n"/>
      <c r="D35" s="4" t="n"/>
      <c r="E35" s="4" t="n"/>
      <c r="F35" s="4" t="n"/>
      <c r="G35" s="10" t="n"/>
      <c r="H35" s="10" t="n"/>
      <c r="I35" s="4" t="n"/>
      <c r="J35" s="4" t="n"/>
      <c r="K35" s="24">
        <f>IFERROR(J35/I35,"")</f>
        <v/>
      </c>
      <c r="L35" s="10">
        <f>IFERROR(M35/J35,"")</f>
        <v/>
      </c>
      <c r="M35" s="10" t="n"/>
      <c r="N35" s="4" t="n"/>
      <c r="O35" s="24">
        <f>IFERROR(N35/J35,"")</f>
        <v/>
      </c>
      <c r="P35" s="10" t="n"/>
      <c r="Q35" s="24">
        <f>IFERROR(M35/P35,"")</f>
        <v/>
      </c>
      <c r="R35" s="28">
        <f>IFERROR(P35/M35,"")</f>
        <v/>
      </c>
      <c r="S35" s="4" t="n"/>
      <c r="T35" s="10" t="n"/>
      <c r="U35" s="4" t="n"/>
      <c r="V35" s="4" t="n"/>
      <c r="W35" s="4" t="n"/>
      <c r="X35" s="4" t="n"/>
    </row>
    <row r="36" ht="38" customHeight="1">
      <c r="A36" s="29" t="n"/>
      <c r="B36" s="6" t="n"/>
      <c r="C36" s="6" t="n"/>
      <c r="D36" s="6" t="n"/>
      <c r="E36" s="6" t="n"/>
      <c r="F36" s="6" t="n"/>
      <c r="G36" s="12" t="n"/>
      <c r="H36" s="12" t="n"/>
      <c r="I36" s="6" t="n"/>
      <c r="J36" s="6" t="n"/>
      <c r="K36" s="22">
        <f>IFERROR(J36/I36,"")</f>
        <v/>
      </c>
      <c r="L36" s="12">
        <f>IFERROR(M36/J36,"")</f>
        <v/>
      </c>
      <c r="M36" s="12" t="n"/>
      <c r="N36" s="6" t="n"/>
      <c r="O36" s="22">
        <f>IFERROR(N36/J36,"")</f>
        <v/>
      </c>
      <c r="P36" s="12" t="n"/>
      <c r="Q36" s="22">
        <f>IFERROR(M36/P36,"")</f>
        <v/>
      </c>
      <c r="R36" s="30">
        <f>IFERROR(P36/M36,"")</f>
        <v/>
      </c>
      <c r="S36" s="6" t="n"/>
      <c r="T36" s="12" t="n"/>
      <c r="U36" s="6" t="n"/>
      <c r="V36" s="6" t="n"/>
      <c r="W36" s="6" t="n"/>
      <c r="X36" s="6" t="n"/>
    </row>
    <row r="37" ht="38" customHeight="1">
      <c r="A37" s="27" t="n"/>
      <c r="B37" s="4" t="n"/>
      <c r="C37" s="4" t="n"/>
      <c r="D37" s="4" t="n"/>
      <c r="E37" s="4" t="n"/>
      <c r="F37" s="4" t="n"/>
      <c r="G37" s="10" t="n"/>
      <c r="H37" s="10" t="n"/>
      <c r="I37" s="4" t="n"/>
      <c r="J37" s="4" t="n"/>
      <c r="K37" s="24">
        <f>IFERROR(J37/I37,"")</f>
        <v/>
      </c>
      <c r="L37" s="10">
        <f>IFERROR(M37/J37,"")</f>
        <v/>
      </c>
      <c r="M37" s="10" t="n"/>
      <c r="N37" s="4" t="n"/>
      <c r="O37" s="24">
        <f>IFERROR(N37/J37,"")</f>
        <v/>
      </c>
      <c r="P37" s="10" t="n"/>
      <c r="Q37" s="24">
        <f>IFERROR(M37/P37,"")</f>
        <v/>
      </c>
      <c r="R37" s="28">
        <f>IFERROR(P37/M37,"")</f>
        <v/>
      </c>
      <c r="S37" s="4" t="n"/>
      <c r="T37" s="10" t="n"/>
      <c r="U37" s="4" t="n"/>
      <c r="V37" s="4" t="n"/>
      <c r="W37" s="4" t="n"/>
      <c r="X37" s="4" t="n"/>
    </row>
    <row r="38" ht="38" customHeight="1">
      <c r="A38" s="29" t="n"/>
      <c r="B38" s="6" t="n"/>
      <c r="C38" s="6" t="n"/>
      <c r="D38" s="6" t="n"/>
      <c r="E38" s="6" t="n"/>
      <c r="F38" s="6" t="n"/>
      <c r="G38" s="12" t="n"/>
      <c r="H38" s="12" t="n"/>
      <c r="I38" s="6" t="n"/>
      <c r="J38" s="6" t="n"/>
      <c r="K38" s="22">
        <f>IFERROR(J38/I38,"")</f>
        <v/>
      </c>
      <c r="L38" s="12">
        <f>IFERROR(M38/J38,"")</f>
        <v/>
      </c>
      <c r="M38" s="12" t="n"/>
      <c r="N38" s="6" t="n"/>
      <c r="O38" s="22">
        <f>IFERROR(N38/J38,"")</f>
        <v/>
      </c>
      <c r="P38" s="12" t="n"/>
      <c r="Q38" s="22">
        <f>IFERROR(M38/P38,"")</f>
        <v/>
      </c>
      <c r="R38" s="30">
        <f>IFERROR(P38/M38,"")</f>
        <v/>
      </c>
      <c r="S38" s="6" t="n"/>
      <c r="T38" s="12" t="n"/>
      <c r="U38" s="6" t="n"/>
      <c r="V38" s="6" t="n"/>
      <c r="W38" s="6" t="n"/>
      <c r="X38" s="6" t="n"/>
    </row>
    <row r="39" ht="38" customHeight="1">
      <c r="A39" s="27" t="n"/>
      <c r="B39" s="4" t="n"/>
      <c r="C39" s="4" t="n"/>
      <c r="D39" s="4" t="n"/>
      <c r="E39" s="4" t="n"/>
      <c r="F39" s="4" t="n"/>
      <c r="G39" s="10" t="n"/>
      <c r="H39" s="10" t="n"/>
      <c r="I39" s="4" t="n"/>
      <c r="J39" s="4" t="n"/>
      <c r="K39" s="24">
        <f>IFERROR(J39/I39,"")</f>
        <v/>
      </c>
      <c r="L39" s="10">
        <f>IFERROR(M39/J39,"")</f>
        <v/>
      </c>
      <c r="M39" s="10" t="n"/>
      <c r="N39" s="4" t="n"/>
      <c r="O39" s="24">
        <f>IFERROR(N39/J39,"")</f>
        <v/>
      </c>
      <c r="P39" s="10" t="n"/>
      <c r="Q39" s="24">
        <f>IFERROR(M39/P39,"")</f>
        <v/>
      </c>
      <c r="R39" s="28">
        <f>IFERROR(P39/M39,"")</f>
        <v/>
      </c>
      <c r="S39" s="4" t="n"/>
      <c r="T39" s="10" t="n"/>
      <c r="U39" s="4" t="n"/>
      <c r="V39" s="4" t="n"/>
      <c r="W39" s="4" t="n"/>
      <c r="X39" s="4" t="n"/>
    </row>
    <row r="40" ht="38" customHeight="1">
      <c r="A40" s="29" t="n"/>
      <c r="B40" s="6" t="n"/>
      <c r="C40" s="6" t="n"/>
      <c r="D40" s="6" t="n"/>
      <c r="E40" s="6" t="n"/>
      <c r="F40" s="6" t="n"/>
      <c r="G40" s="12" t="n"/>
      <c r="H40" s="12" t="n"/>
      <c r="I40" s="6" t="n"/>
      <c r="J40" s="6" t="n"/>
      <c r="K40" s="22">
        <f>IFERROR(J40/I40,"")</f>
        <v/>
      </c>
      <c r="L40" s="12">
        <f>IFERROR(M40/J40,"")</f>
        <v/>
      </c>
      <c r="M40" s="12" t="n"/>
      <c r="N40" s="6" t="n"/>
      <c r="O40" s="22">
        <f>IFERROR(N40/J40,"")</f>
        <v/>
      </c>
      <c r="P40" s="12" t="n"/>
      <c r="Q40" s="22">
        <f>IFERROR(M40/P40,"")</f>
        <v/>
      </c>
      <c r="R40" s="30">
        <f>IFERROR(P40/M40,"")</f>
        <v/>
      </c>
      <c r="S40" s="6" t="n"/>
      <c r="T40" s="12" t="n"/>
      <c r="U40" s="6" t="n"/>
      <c r="V40" s="6" t="n"/>
      <c r="W40" s="6" t="n"/>
      <c r="X40" s="6" t="n"/>
    </row>
    <row r="41" ht="38" customHeight="1">
      <c r="A41" s="27" t="n"/>
      <c r="B41" s="4" t="n"/>
      <c r="C41" s="4" t="n"/>
      <c r="D41" s="4" t="n"/>
      <c r="E41" s="4" t="n"/>
      <c r="F41" s="4" t="n"/>
      <c r="G41" s="10" t="n"/>
      <c r="H41" s="10" t="n"/>
      <c r="I41" s="4" t="n"/>
      <c r="J41" s="4" t="n"/>
      <c r="K41" s="24">
        <f>IFERROR(J41/I41,"")</f>
        <v/>
      </c>
      <c r="L41" s="10">
        <f>IFERROR(M41/J41,"")</f>
        <v/>
      </c>
      <c r="M41" s="10" t="n"/>
      <c r="N41" s="4" t="n"/>
      <c r="O41" s="24">
        <f>IFERROR(N41/J41,"")</f>
        <v/>
      </c>
      <c r="P41" s="10" t="n"/>
      <c r="Q41" s="24">
        <f>IFERROR(M41/P41,"")</f>
        <v/>
      </c>
      <c r="R41" s="28">
        <f>IFERROR(P41/M41,"")</f>
        <v/>
      </c>
      <c r="S41" s="4" t="n"/>
      <c r="T41" s="10" t="n"/>
      <c r="U41" s="4" t="n"/>
      <c r="V41" s="4" t="n"/>
      <c r="W41" s="4" t="n"/>
      <c r="X41" s="4" t="n"/>
    </row>
    <row r="42" ht="38" customHeight="1">
      <c r="A42" s="29" t="n"/>
      <c r="B42" s="6" t="n"/>
      <c r="C42" s="6" t="n"/>
      <c r="D42" s="6" t="n"/>
      <c r="E42" s="6" t="n"/>
      <c r="F42" s="6" t="n"/>
      <c r="G42" s="12" t="n"/>
      <c r="H42" s="12" t="n"/>
      <c r="I42" s="6" t="n"/>
      <c r="J42" s="6" t="n"/>
      <c r="K42" s="22">
        <f>IFERROR(J42/I42,"")</f>
        <v/>
      </c>
      <c r="L42" s="12">
        <f>IFERROR(M42/J42,"")</f>
        <v/>
      </c>
      <c r="M42" s="12" t="n"/>
      <c r="N42" s="6" t="n"/>
      <c r="O42" s="22">
        <f>IFERROR(N42/J42,"")</f>
        <v/>
      </c>
      <c r="P42" s="12" t="n"/>
      <c r="Q42" s="22">
        <f>IFERROR(M42/P42,"")</f>
        <v/>
      </c>
      <c r="R42" s="30">
        <f>IFERROR(P42/M42,"")</f>
        <v/>
      </c>
      <c r="S42" s="6" t="n"/>
      <c r="T42" s="12" t="n"/>
      <c r="U42" s="6" t="n"/>
      <c r="V42" s="6" t="n"/>
      <c r="W42" s="6" t="n"/>
      <c r="X42" s="6" t="n"/>
    </row>
    <row r="43" ht="38" customHeight="1">
      <c r="A43" s="27" t="n"/>
      <c r="B43" s="4" t="n"/>
      <c r="C43" s="4" t="n"/>
      <c r="D43" s="4" t="n"/>
      <c r="E43" s="4" t="n"/>
      <c r="F43" s="4" t="n"/>
      <c r="G43" s="10" t="n"/>
      <c r="H43" s="10" t="n"/>
      <c r="I43" s="4" t="n"/>
      <c r="J43" s="4" t="n"/>
      <c r="K43" s="24">
        <f>IFERROR(J43/I43,"")</f>
        <v/>
      </c>
      <c r="L43" s="10">
        <f>IFERROR(M43/J43,"")</f>
        <v/>
      </c>
      <c r="M43" s="10" t="n"/>
      <c r="N43" s="4" t="n"/>
      <c r="O43" s="24">
        <f>IFERROR(N43/J43,"")</f>
        <v/>
      </c>
      <c r="P43" s="10" t="n"/>
      <c r="Q43" s="24">
        <f>IFERROR(M43/P43,"")</f>
        <v/>
      </c>
      <c r="R43" s="28">
        <f>IFERROR(P43/M43,"")</f>
        <v/>
      </c>
      <c r="S43" s="4" t="n"/>
      <c r="T43" s="10" t="n"/>
      <c r="U43" s="4" t="n"/>
      <c r="V43" s="4" t="n"/>
      <c r="W43" s="4" t="n"/>
      <c r="X43" s="4" t="n"/>
    </row>
    <row r="44" ht="38" customHeight="1">
      <c r="A44" s="29" t="n"/>
      <c r="B44" s="6" t="n"/>
      <c r="C44" s="6" t="n"/>
      <c r="D44" s="6" t="n"/>
      <c r="E44" s="6" t="n"/>
      <c r="F44" s="6" t="n"/>
      <c r="G44" s="12" t="n"/>
      <c r="H44" s="12" t="n"/>
      <c r="I44" s="6" t="n"/>
      <c r="J44" s="6" t="n"/>
      <c r="K44" s="22">
        <f>IFERROR(J44/I44,"")</f>
        <v/>
      </c>
      <c r="L44" s="12">
        <f>IFERROR(M44/J44,"")</f>
        <v/>
      </c>
      <c r="M44" s="12" t="n"/>
      <c r="N44" s="6" t="n"/>
      <c r="O44" s="22">
        <f>IFERROR(N44/J44,"")</f>
        <v/>
      </c>
      <c r="P44" s="12" t="n"/>
      <c r="Q44" s="22">
        <f>IFERROR(M44/P44,"")</f>
        <v/>
      </c>
      <c r="R44" s="30">
        <f>IFERROR(P44/M44,"")</f>
        <v/>
      </c>
      <c r="S44" s="6" t="n"/>
      <c r="T44" s="12" t="n"/>
      <c r="U44" s="6" t="n"/>
      <c r="V44" s="6" t="n"/>
      <c r="W44" s="6" t="n"/>
      <c r="X44" s="6" t="n"/>
    </row>
    <row r="45" ht="38" customHeight="1">
      <c r="A45" s="27" t="n"/>
      <c r="B45" s="4" t="n"/>
      <c r="C45" s="4" t="n"/>
      <c r="D45" s="4" t="n"/>
      <c r="E45" s="4" t="n"/>
      <c r="F45" s="4" t="n"/>
      <c r="G45" s="10" t="n"/>
      <c r="H45" s="10" t="n"/>
      <c r="I45" s="4" t="n"/>
      <c r="J45" s="4" t="n"/>
      <c r="K45" s="24">
        <f>IFERROR(J45/I45,"")</f>
        <v/>
      </c>
      <c r="L45" s="10">
        <f>IFERROR(M45/J45,"")</f>
        <v/>
      </c>
      <c r="M45" s="10" t="n"/>
      <c r="N45" s="4" t="n"/>
      <c r="O45" s="24">
        <f>IFERROR(N45/J45,"")</f>
        <v/>
      </c>
      <c r="P45" s="10" t="n"/>
      <c r="Q45" s="24">
        <f>IFERROR(M45/P45,"")</f>
        <v/>
      </c>
      <c r="R45" s="28">
        <f>IFERROR(P45/M45,"")</f>
        <v/>
      </c>
      <c r="S45" s="4" t="n"/>
      <c r="T45" s="10" t="n"/>
      <c r="U45" s="4" t="n"/>
      <c r="V45" s="4" t="n"/>
      <c r="W45" s="4" t="n"/>
      <c r="X45" s="4" t="n"/>
    </row>
    <row r="46" ht="38" customHeight="1">
      <c r="A46" s="29" t="n"/>
      <c r="B46" s="6" t="n"/>
      <c r="C46" s="6" t="n"/>
      <c r="D46" s="6" t="n"/>
      <c r="E46" s="6" t="n"/>
      <c r="F46" s="6" t="n"/>
      <c r="G46" s="12" t="n"/>
      <c r="H46" s="12" t="n"/>
      <c r="I46" s="6" t="n"/>
      <c r="J46" s="6" t="n"/>
      <c r="K46" s="22">
        <f>IFERROR(J46/I46,"")</f>
        <v/>
      </c>
      <c r="L46" s="12">
        <f>IFERROR(M46/J46,"")</f>
        <v/>
      </c>
      <c r="M46" s="12" t="n"/>
      <c r="N46" s="6" t="n"/>
      <c r="O46" s="22">
        <f>IFERROR(N46/J46,"")</f>
        <v/>
      </c>
      <c r="P46" s="12" t="n"/>
      <c r="Q46" s="22">
        <f>IFERROR(M46/P46,"")</f>
        <v/>
      </c>
      <c r="R46" s="30">
        <f>IFERROR(P46/M46,"")</f>
        <v/>
      </c>
      <c r="S46" s="6" t="n"/>
      <c r="T46" s="12" t="n"/>
      <c r="U46" s="6" t="n"/>
      <c r="V46" s="6" t="n"/>
      <c r="W46" s="6" t="n"/>
      <c r="X46" s="6" t="n"/>
    </row>
    <row r="47" ht="38" customHeight="1">
      <c r="A47" s="27" t="n"/>
      <c r="B47" s="4" t="n"/>
      <c r="C47" s="4" t="n"/>
      <c r="D47" s="4" t="n"/>
      <c r="E47" s="4" t="n"/>
      <c r="F47" s="4" t="n"/>
      <c r="G47" s="10" t="n"/>
      <c r="H47" s="10" t="n"/>
      <c r="I47" s="4" t="n"/>
      <c r="J47" s="4" t="n"/>
      <c r="K47" s="24">
        <f>IFERROR(J47/I47,"")</f>
        <v/>
      </c>
      <c r="L47" s="10">
        <f>IFERROR(M47/J47,"")</f>
        <v/>
      </c>
      <c r="M47" s="10" t="n"/>
      <c r="N47" s="4" t="n"/>
      <c r="O47" s="24">
        <f>IFERROR(N47/J47,"")</f>
        <v/>
      </c>
      <c r="P47" s="10" t="n"/>
      <c r="Q47" s="24">
        <f>IFERROR(M47/P47,"")</f>
        <v/>
      </c>
      <c r="R47" s="28">
        <f>IFERROR(P47/M47,"")</f>
        <v/>
      </c>
      <c r="S47" s="4" t="n"/>
      <c r="T47" s="10" t="n"/>
      <c r="U47" s="4" t="n"/>
      <c r="V47" s="4" t="n"/>
      <c r="W47" s="4" t="n"/>
      <c r="X47" s="4" t="n"/>
    </row>
    <row r="48" ht="38" customHeight="1">
      <c r="A48" s="29" t="n"/>
      <c r="B48" s="6" t="n"/>
      <c r="C48" s="6" t="n"/>
      <c r="D48" s="6" t="n"/>
      <c r="E48" s="6" t="n"/>
      <c r="F48" s="6" t="n"/>
      <c r="G48" s="12" t="n"/>
      <c r="H48" s="12" t="n"/>
      <c r="I48" s="6" t="n"/>
      <c r="J48" s="6" t="n"/>
      <c r="K48" s="22">
        <f>IFERROR(J48/I48,"")</f>
        <v/>
      </c>
      <c r="L48" s="12">
        <f>IFERROR(M48/J48,"")</f>
        <v/>
      </c>
      <c r="M48" s="12" t="n"/>
      <c r="N48" s="6" t="n"/>
      <c r="O48" s="22">
        <f>IFERROR(N48/J48,"")</f>
        <v/>
      </c>
      <c r="P48" s="12" t="n"/>
      <c r="Q48" s="22">
        <f>IFERROR(M48/P48,"")</f>
        <v/>
      </c>
      <c r="R48" s="30">
        <f>IFERROR(P48/M48,"")</f>
        <v/>
      </c>
      <c r="S48" s="6" t="n"/>
      <c r="T48" s="12" t="n"/>
      <c r="U48" s="6" t="n"/>
      <c r="V48" s="6" t="n"/>
      <c r="W48" s="6" t="n"/>
      <c r="X48" s="6" t="n"/>
    </row>
    <row r="49" ht="38" customHeight="1">
      <c r="A49" s="27" t="n"/>
      <c r="B49" s="4" t="n"/>
      <c r="C49" s="4" t="n"/>
      <c r="D49" s="4" t="n"/>
      <c r="E49" s="4" t="n"/>
      <c r="F49" s="4" t="n"/>
      <c r="G49" s="10" t="n"/>
      <c r="H49" s="10" t="n"/>
      <c r="I49" s="4" t="n"/>
      <c r="J49" s="4" t="n"/>
      <c r="K49" s="24">
        <f>IFERROR(J49/I49,"")</f>
        <v/>
      </c>
      <c r="L49" s="10">
        <f>IFERROR(M49/J49,"")</f>
        <v/>
      </c>
      <c r="M49" s="10" t="n"/>
      <c r="N49" s="4" t="n"/>
      <c r="O49" s="24">
        <f>IFERROR(N49/J49,"")</f>
        <v/>
      </c>
      <c r="P49" s="10" t="n"/>
      <c r="Q49" s="24">
        <f>IFERROR(M49/P49,"")</f>
        <v/>
      </c>
      <c r="R49" s="28">
        <f>IFERROR(P49/M49,"")</f>
        <v/>
      </c>
      <c r="S49" s="4" t="n"/>
      <c r="T49" s="10" t="n"/>
      <c r="U49" s="4" t="n"/>
      <c r="V49" s="4" t="n"/>
      <c r="W49" s="4" t="n"/>
      <c r="X49" s="4" t="n"/>
    </row>
    <row r="50" ht="38" customHeight="1">
      <c r="A50" s="29" t="n"/>
      <c r="B50" s="6" t="n"/>
      <c r="C50" s="6" t="n"/>
      <c r="D50" s="6" t="n"/>
      <c r="E50" s="6" t="n"/>
      <c r="F50" s="6" t="n"/>
      <c r="G50" s="12" t="n"/>
      <c r="H50" s="12" t="n"/>
      <c r="I50" s="6" t="n"/>
      <c r="J50" s="6" t="n"/>
      <c r="K50" s="22">
        <f>IFERROR(J50/I50,"")</f>
        <v/>
      </c>
      <c r="L50" s="12">
        <f>IFERROR(M50/J50,"")</f>
        <v/>
      </c>
      <c r="M50" s="12" t="n"/>
      <c r="N50" s="6" t="n"/>
      <c r="O50" s="22">
        <f>IFERROR(N50/J50,"")</f>
        <v/>
      </c>
      <c r="P50" s="12" t="n"/>
      <c r="Q50" s="22">
        <f>IFERROR(M50/P50,"")</f>
        <v/>
      </c>
      <c r="R50" s="30">
        <f>IFERROR(P50/M50,"")</f>
        <v/>
      </c>
      <c r="S50" s="6" t="n"/>
      <c r="T50" s="12" t="n"/>
      <c r="U50" s="6" t="n"/>
      <c r="V50" s="6" t="n"/>
      <c r="W50" s="6" t="n"/>
      <c r="X50" s="6" t="n"/>
    </row>
    <row r="51" ht="38" customHeight="1">
      <c r="A51" s="27" t="n"/>
      <c r="B51" s="4" t="n"/>
      <c r="C51" s="4" t="n"/>
      <c r="D51" s="4" t="n"/>
      <c r="E51" s="4" t="n"/>
      <c r="F51" s="4" t="n"/>
      <c r="G51" s="10" t="n"/>
      <c r="H51" s="10" t="n"/>
      <c r="I51" s="4" t="n"/>
      <c r="J51" s="4" t="n"/>
      <c r="K51" s="24">
        <f>IFERROR(J51/I51,"")</f>
        <v/>
      </c>
      <c r="L51" s="10">
        <f>IFERROR(M51/J51,"")</f>
        <v/>
      </c>
      <c r="M51" s="10" t="n"/>
      <c r="N51" s="4" t="n"/>
      <c r="O51" s="24">
        <f>IFERROR(N51/J51,"")</f>
        <v/>
      </c>
      <c r="P51" s="10" t="n"/>
      <c r="Q51" s="24">
        <f>IFERROR(M51/P51,"")</f>
        <v/>
      </c>
      <c r="R51" s="28">
        <f>IFERROR(P51/M51,"")</f>
        <v/>
      </c>
      <c r="S51" s="4" t="n"/>
      <c r="T51" s="10" t="n"/>
      <c r="U51" s="4" t="n"/>
      <c r="V51" s="4" t="n"/>
      <c r="W51" s="4" t="n"/>
      <c r="X51" s="4" t="n"/>
    </row>
    <row r="52" ht="38" customHeight="1">
      <c r="A52" s="29" t="n"/>
      <c r="B52" s="6" t="n"/>
      <c r="C52" s="6" t="n"/>
      <c r="D52" s="6" t="n"/>
      <c r="E52" s="6" t="n"/>
      <c r="F52" s="6" t="n"/>
      <c r="G52" s="12" t="n"/>
      <c r="H52" s="12" t="n"/>
      <c r="I52" s="6" t="n"/>
      <c r="J52" s="6" t="n"/>
      <c r="K52" s="22">
        <f>IFERROR(J52/I52,"")</f>
        <v/>
      </c>
      <c r="L52" s="12">
        <f>IFERROR(M52/J52,"")</f>
        <v/>
      </c>
      <c r="M52" s="12" t="n"/>
      <c r="N52" s="6" t="n"/>
      <c r="O52" s="22">
        <f>IFERROR(N52/J52,"")</f>
        <v/>
      </c>
      <c r="P52" s="12" t="n"/>
      <c r="Q52" s="22">
        <f>IFERROR(M52/P52,"")</f>
        <v/>
      </c>
      <c r="R52" s="30">
        <f>IFERROR(P52/M52,"")</f>
        <v/>
      </c>
      <c r="S52" s="6" t="n"/>
      <c r="T52" s="12" t="n"/>
      <c r="U52" s="6" t="n"/>
      <c r="V52" s="6" t="n"/>
      <c r="W52" s="6" t="n"/>
      <c r="X52" s="6" t="n"/>
    </row>
    <row r="53" ht="38" customHeight="1">
      <c r="A53" s="27" t="n"/>
      <c r="B53" s="4" t="n"/>
      <c r="C53" s="4" t="n"/>
      <c r="D53" s="4" t="n"/>
      <c r="E53" s="4" t="n"/>
      <c r="F53" s="4" t="n"/>
      <c r="G53" s="10" t="n"/>
      <c r="H53" s="10" t="n"/>
      <c r="I53" s="4" t="n"/>
      <c r="J53" s="4" t="n"/>
      <c r="K53" s="24">
        <f>IFERROR(J53/I53,"")</f>
        <v/>
      </c>
      <c r="L53" s="10">
        <f>IFERROR(M53/J53,"")</f>
        <v/>
      </c>
      <c r="M53" s="10" t="n"/>
      <c r="N53" s="4" t="n"/>
      <c r="O53" s="24">
        <f>IFERROR(N53/J53,"")</f>
        <v/>
      </c>
      <c r="P53" s="10" t="n"/>
      <c r="Q53" s="24">
        <f>IFERROR(M53/P53,"")</f>
        <v/>
      </c>
      <c r="R53" s="28">
        <f>IFERROR(P53/M53,"")</f>
        <v/>
      </c>
      <c r="S53" s="4" t="n"/>
      <c r="T53" s="10" t="n"/>
      <c r="U53" s="4" t="n"/>
      <c r="V53" s="4" t="n"/>
      <c r="W53" s="4" t="n"/>
      <c r="X53" s="4" t="n"/>
    </row>
    <row r="54" ht="38" customHeight="1">
      <c r="A54" s="29" t="n"/>
      <c r="B54" s="6" t="n"/>
      <c r="C54" s="6" t="n"/>
      <c r="D54" s="6" t="n"/>
      <c r="E54" s="6" t="n"/>
      <c r="F54" s="6" t="n"/>
      <c r="G54" s="12" t="n"/>
      <c r="H54" s="12" t="n"/>
      <c r="I54" s="6" t="n"/>
      <c r="J54" s="6" t="n"/>
      <c r="K54" s="22">
        <f>IFERROR(J54/I54,"")</f>
        <v/>
      </c>
      <c r="L54" s="12">
        <f>IFERROR(M54/J54,"")</f>
        <v/>
      </c>
      <c r="M54" s="12" t="n"/>
      <c r="N54" s="6" t="n"/>
      <c r="O54" s="22">
        <f>IFERROR(N54/J54,"")</f>
        <v/>
      </c>
      <c r="P54" s="12" t="n"/>
      <c r="Q54" s="22">
        <f>IFERROR(M54/P54,"")</f>
        <v/>
      </c>
      <c r="R54" s="30">
        <f>IFERROR(P54/M54,"")</f>
        <v/>
      </c>
      <c r="S54" s="6" t="n"/>
      <c r="T54" s="12" t="n"/>
      <c r="U54" s="6" t="n"/>
      <c r="V54" s="6" t="n"/>
      <c r="W54" s="6" t="n"/>
      <c r="X54" s="6" t="n"/>
    </row>
    <row r="55" ht="38" customHeight="1">
      <c r="A55" s="27" t="n"/>
      <c r="B55" s="4" t="n"/>
      <c r="C55" s="4" t="n"/>
      <c r="D55" s="4" t="n"/>
      <c r="E55" s="4" t="n"/>
      <c r="F55" s="4" t="n"/>
      <c r="G55" s="10" t="n"/>
      <c r="H55" s="10" t="n"/>
      <c r="I55" s="4" t="n"/>
      <c r="J55" s="4" t="n"/>
      <c r="K55" s="24">
        <f>IFERROR(J55/I55,"")</f>
        <v/>
      </c>
      <c r="L55" s="10">
        <f>IFERROR(M55/J55,"")</f>
        <v/>
      </c>
      <c r="M55" s="10" t="n"/>
      <c r="N55" s="4" t="n"/>
      <c r="O55" s="24">
        <f>IFERROR(N55/J55,"")</f>
        <v/>
      </c>
      <c r="P55" s="10" t="n"/>
      <c r="Q55" s="24">
        <f>IFERROR(M55/P55,"")</f>
        <v/>
      </c>
      <c r="R55" s="28">
        <f>IFERROR(P55/M55,"")</f>
        <v/>
      </c>
      <c r="S55" s="4" t="n"/>
      <c r="T55" s="10" t="n"/>
      <c r="U55" s="4" t="n"/>
      <c r="V55" s="4" t="n"/>
      <c r="W55" s="4" t="n"/>
      <c r="X55" s="4" t="n"/>
    </row>
    <row r="56" ht="38" customHeight="1">
      <c r="A56" s="29" t="n"/>
      <c r="B56" s="6" t="n"/>
      <c r="C56" s="6" t="n"/>
      <c r="D56" s="6" t="n"/>
      <c r="E56" s="6" t="n"/>
      <c r="F56" s="6" t="n"/>
      <c r="G56" s="12" t="n"/>
      <c r="H56" s="12" t="n"/>
      <c r="I56" s="6" t="n"/>
      <c r="J56" s="6" t="n"/>
      <c r="K56" s="22">
        <f>IFERROR(J56/I56,"")</f>
        <v/>
      </c>
      <c r="L56" s="12">
        <f>IFERROR(M56/J56,"")</f>
        <v/>
      </c>
      <c r="M56" s="12" t="n"/>
      <c r="N56" s="6" t="n"/>
      <c r="O56" s="22">
        <f>IFERROR(N56/J56,"")</f>
        <v/>
      </c>
      <c r="P56" s="12" t="n"/>
      <c r="Q56" s="22">
        <f>IFERROR(M56/P56,"")</f>
        <v/>
      </c>
      <c r="R56" s="30">
        <f>IFERROR(P56/M56,"")</f>
        <v/>
      </c>
      <c r="S56" s="6" t="n"/>
      <c r="T56" s="12" t="n"/>
      <c r="U56" s="6" t="n"/>
      <c r="V56" s="6" t="n"/>
      <c r="W56" s="6" t="n"/>
      <c r="X56" s="6" t="n"/>
    </row>
    <row r="57" ht="38" customHeight="1">
      <c r="A57" s="27" t="n"/>
      <c r="B57" s="4" t="n"/>
      <c r="C57" s="4" t="n"/>
      <c r="D57" s="4" t="n"/>
      <c r="E57" s="4" t="n"/>
      <c r="F57" s="4" t="n"/>
      <c r="G57" s="10" t="n"/>
      <c r="H57" s="10" t="n"/>
      <c r="I57" s="4" t="n"/>
      <c r="J57" s="4" t="n"/>
      <c r="K57" s="24">
        <f>IFERROR(J57/I57,"")</f>
        <v/>
      </c>
      <c r="L57" s="10">
        <f>IFERROR(M57/J57,"")</f>
        <v/>
      </c>
      <c r="M57" s="10" t="n"/>
      <c r="N57" s="4" t="n"/>
      <c r="O57" s="24">
        <f>IFERROR(N57/J57,"")</f>
        <v/>
      </c>
      <c r="P57" s="10" t="n"/>
      <c r="Q57" s="24">
        <f>IFERROR(M57/P57,"")</f>
        <v/>
      </c>
      <c r="R57" s="28">
        <f>IFERROR(P57/M57,"")</f>
        <v/>
      </c>
      <c r="S57" s="4" t="n"/>
      <c r="T57" s="10" t="n"/>
      <c r="U57" s="4" t="n"/>
      <c r="V57" s="4" t="n"/>
      <c r="W57" s="4" t="n"/>
      <c r="X57" s="4" t="n"/>
    </row>
    <row r="58" ht="38" customHeight="1">
      <c r="A58" s="29" t="n"/>
      <c r="B58" s="6" t="n"/>
      <c r="C58" s="6" t="n"/>
      <c r="D58" s="6" t="n"/>
      <c r="E58" s="6" t="n"/>
      <c r="F58" s="6" t="n"/>
      <c r="G58" s="12" t="n"/>
      <c r="H58" s="12" t="n"/>
      <c r="I58" s="6" t="n"/>
      <c r="J58" s="6" t="n"/>
      <c r="K58" s="22">
        <f>IFERROR(J58/I58,"")</f>
        <v/>
      </c>
      <c r="L58" s="12">
        <f>IFERROR(M58/J58,"")</f>
        <v/>
      </c>
      <c r="M58" s="12" t="n"/>
      <c r="N58" s="6" t="n"/>
      <c r="O58" s="22">
        <f>IFERROR(N58/J58,"")</f>
        <v/>
      </c>
      <c r="P58" s="12" t="n"/>
      <c r="Q58" s="22">
        <f>IFERROR(M58/P58,"")</f>
        <v/>
      </c>
      <c r="R58" s="30">
        <f>IFERROR(P58/M58,"")</f>
        <v/>
      </c>
      <c r="S58" s="6" t="n"/>
      <c r="T58" s="12" t="n"/>
      <c r="U58" s="6" t="n"/>
      <c r="V58" s="6" t="n"/>
      <c r="W58" s="6" t="n"/>
      <c r="X58" s="6" t="n"/>
    </row>
    <row r="59" ht="38" customHeight="1">
      <c r="A59" s="27" t="n"/>
      <c r="B59" s="4" t="n"/>
      <c r="C59" s="4" t="n"/>
      <c r="D59" s="4" t="n"/>
      <c r="E59" s="4" t="n"/>
      <c r="F59" s="4" t="n"/>
      <c r="G59" s="10" t="n"/>
      <c r="H59" s="10" t="n"/>
      <c r="I59" s="4" t="n"/>
      <c r="J59" s="4" t="n"/>
      <c r="K59" s="24">
        <f>IFERROR(J59/I59,"")</f>
        <v/>
      </c>
      <c r="L59" s="10">
        <f>IFERROR(M59/J59,"")</f>
        <v/>
      </c>
      <c r="M59" s="10" t="n"/>
      <c r="N59" s="4" t="n"/>
      <c r="O59" s="24">
        <f>IFERROR(N59/J59,"")</f>
        <v/>
      </c>
      <c r="P59" s="10" t="n"/>
      <c r="Q59" s="24">
        <f>IFERROR(M59/P59,"")</f>
        <v/>
      </c>
      <c r="R59" s="28">
        <f>IFERROR(P59/M59,"")</f>
        <v/>
      </c>
      <c r="S59" s="4" t="n"/>
      <c r="T59" s="10" t="n"/>
      <c r="U59" s="4" t="n"/>
      <c r="V59" s="4" t="n"/>
      <c r="W59" s="4" t="n"/>
      <c r="X59" s="4" t="n"/>
    </row>
    <row r="60" ht="38" customHeight="1">
      <c r="A60" s="29" t="n"/>
      <c r="B60" s="6" t="n"/>
      <c r="C60" s="6" t="n"/>
      <c r="D60" s="6" t="n"/>
      <c r="E60" s="6" t="n"/>
      <c r="F60" s="6" t="n"/>
      <c r="G60" s="12" t="n"/>
      <c r="H60" s="12" t="n"/>
      <c r="I60" s="6" t="n"/>
      <c r="J60" s="6" t="n"/>
      <c r="K60" s="22">
        <f>IFERROR(J60/I60,"")</f>
        <v/>
      </c>
      <c r="L60" s="12">
        <f>IFERROR(M60/J60,"")</f>
        <v/>
      </c>
      <c r="M60" s="12" t="n"/>
      <c r="N60" s="6" t="n"/>
      <c r="O60" s="22">
        <f>IFERROR(N60/J60,"")</f>
        <v/>
      </c>
      <c r="P60" s="12" t="n"/>
      <c r="Q60" s="22">
        <f>IFERROR(M60/P60,"")</f>
        <v/>
      </c>
      <c r="R60" s="30">
        <f>IFERROR(P60/M60,"")</f>
        <v/>
      </c>
      <c r="S60" s="6" t="n"/>
      <c r="T60" s="12" t="n"/>
      <c r="U60" s="6" t="n"/>
      <c r="V60" s="6" t="n"/>
      <c r="W60" s="6" t="n"/>
      <c r="X60" s="6" t="n"/>
    </row>
    <row r="61" ht="38" customHeight="1">
      <c r="A61" s="27" t="n"/>
      <c r="B61" s="4" t="n"/>
      <c r="C61" s="4" t="n"/>
      <c r="D61" s="4" t="n"/>
      <c r="E61" s="4" t="n"/>
      <c r="F61" s="4" t="n"/>
      <c r="G61" s="10" t="n"/>
      <c r="H61" s="10" t="n"/>
      <c r="I61" s="4" t="n"/>
      <c r="J61" s="4" t="n"/>
      <c r="K61" s="24">
        <f>IFERROR(J61/I61,"")</f>
        <v/>
      </c>
      <c r="L61" s="10">
        <f>IFERROR(M61/J61,"")</f>
        <v/>
      </c>
      <c r="M61" s="10" t="n"/>
      <c r="N61" s="4" t="n"/>
      <c r="O61" s="24">
        <f>IFERROR(N61/J61,"")</f>
        <v/>
      </c>
      <c r="P61" s="10" t="n"/>
      <c r="Q61" s="24">
        <f>IFERROR(M61/P61,"")</f>
        <v/>
      </c>
      <c r="R61" s="28">
        <f>IFERROR(P61/M61,"")</f>
        <v/>
      </c>
      <c r="S61" s="4" t="n"/>
      <c r="T61" s="10" t="n"/>
      <c r="U61" s="4" t="n"/>
      <c r="V61" s="4" t="n"/>
      <c r="W61" s="4" t="n"/>
      <c r="X61" s="4" t="n"/>
    </row>
    <row r="62" ht="38" customHeight="1">
      <c r="A62" s="29" t="n"/>
      <c r="B62" s="6" t="n"/>
      <c r="C62" s="6" t="n"/>
      <c r="D62" s="6" t="n"/>
      <c r="E62" s="6" t="n"/>
      <c r="F62" s="6" t="n"/>
      <c r="G62" s="12" t="n"/>
      <c r="H62" s="12" t="n"/>
      <c r="I62" s="6" t="n"/>
      <c r="J62" s="6" t="n"/>
      <c r="K62" s="22">
        <f>IFERROR(J62/I62,"")</f>
        <v/>
      </c>
      <c r="L62" s="12">
        <f>IFERROR(M62/J62,"")</f>
        <v/>
      </c>
      <c r="M62" s="12" t="n"/>
      <c r="N62" s="6" t="n"/>
      <c r="O62" s="22">
        <f>IFERROR(N62/J62,"")</f>
        <v/>
      </c>
      <c r="P62" s="12" t="n"/>
      <c r="Q62" s="22">
        <f>IFERROR(M62/P62,"")</f>
        <v/>
      </c>
      <c r="R62" s="30">
        <f>IFERROR(P62/M62,"")</f>
        <v/>
      </c>
      <c r="S62" s="6" t="n"/>
      <c r="T62" s="12" t="n"/>
      <c r="U62" s="6" t="n"/>
      <c r="V62" s="6" t="n"/>
      <c r="W62" s="6" t="n"/>
      <c r="X62" s="6" t="n"/>
    </row>
    <row r="63" ht="38" customHeight="1">
      <c r="A63" s="27" t="n"/>
      <c r="B63" s="4" t="n"/>
      <c r="C63" s="4" t="n"/>
      <c r="D63" s="4" t="n"/>
      <c r="E63" s="4" t="n"/>
      <c r="F63" s="4" t="n"/>
      <c r="G63" s="10" t="n"/>
      <c r="H63" s="10" t="n"/>
      <c r="I63" s="4" t="n"/>
      <c r="J63" s="4" t="n"/>
      <c r="K63" s="24">
        <f>IFERROR(J63/I63,"")</f>
        <v/>
      </c>
      <c r="L63" s="10">
        <f>IFERROR(M63/J63,"")</f>
        <v/>
      </c>
      <c r="M63" s="10" t="n"/>
      <c r="N63" s="4" t="n"/>
      <c r="O63" s="24">
        <f>IFERROR(N63/J63,"")</f>
        <v/>
      </c>
      <c r="P63" s="10" t="n"/>
      <c r="Q63" s="24">
        <f>IFERROR(M63/P63,"")</f>
        <v/>
      </c>
      <c r="R63" s="28">
        <f>IFERROR(P63/M63,"")</f>
        <v/>
      </c>
      <c r="S63" s="4" t="n"/>
      <c r="T63" s="10" t="n"/>
      <c r="U63" s="4" t="n"/>
      <c r="V63" s="4" t="n"/>
      <c r="W63" s="4" t="n"/>
      <c r="X63" s="4" t="n"/>
    </row>
    <row r="64" ht="38" customHeight="1">
      <c r="A64" s="29" t="n"/>
      <c r="B64" s="6" t="n"/>
      <c r="C64" s="6" t="n"/>
      <c r="D64" s="6" t="n"/>
      <c r="E64" s="6" t="n"/>
      <c r="F64" s="6" t="n"/>
      <c r="G64" s="12" t="n"/>
      <c r="H64" s="12" t="n"/>
      <c r="I64" s="6" t="n"/>
      <c r="J64" s="6" t="n"/>
      <c r="K64" s="22">
        <f>IFERROR(J64/I64,"")</f>
        <v/>
      </c>
      <c r="L64" s="12">
        <f>IFERROR(M64/J64,"")</f>
        <v/>
      </c>
      <c r="M64" s="12" t="n"/>
      <c r="N64" s="6" t="n"/>
      <c r="O64" s="22">
        <f>IFERROR(N64/J64,"")</f>
        <v/>
      </c>
      <c r="P64" s="12" t="n"/>
      <c r="Q64" s="22">
        <f>IFERROR(M64/P64,"")</f>
        <v/>
      </c>
      <c r="R64" s="30">
        <f>IFERROR(P64/M64,"")</f>
        <v/>
      </c>
      <c r="S64" s="6" t="n"/>
      <c r="T64" s="12" t="n"/>
      <c r="U64" s="6" t="n"/>
      <c r="V64" s="6" t="n"/>
      <c r="W64" s="6" t="n"/>
      <c r="X64" s="6" t="n"/>
    </row>
    <row r="65" ht="38" customHeight="1">
      <c r="A65" s="27" t="n"/>
      <c r="B65" s="4" t="n"/>
      <c r="C65" s="4" t="n"/>
      <c r="D65" s="4" t="n"/>
      <c r="E65" s="4" t="n"/>
      <c r="F65" s="4" t="n"/>
      <c r="G65" s="10" t="n"/>
      <c r="H65" s="10" t="n"/>
      <c r="I65" s="4" t="n"/>
      <c r="J65" s="4" t="n"/>
      <c r="K65" s="24">
        <f>IFERROR(J65/I65,"")</f>
        <v/>
      </c>
      <c r="L65" s="10">
        <f>IFERROR(M65/J65,"")</f>
        <v/>
      </c>
      <c r="M65" s="10" t="n"/>
      <c r="N65" s="4" t="n"/>
      <c r="O65" s="24">
        <f>IFERROR(N65/J65,"")</f>
        <v/>
      </c>
      <c r="P65" s="10" t="n"/>
      <c r="Q65" s="24">
        <f>IFERROR(M65/P65,"")</f>
        <v/>
      </c>
      <c r="R65" s="28">
        <f>IFERROR(P65/M65,"")</f>
        <v/>
      </c>
      <c r="S65" s="4" t="n"/>
      <c r="T65" s="10" t="n"/>
      <c r="U65" s="4" t="n"/>
      <c r="V65" s="4" t="n"/>
      <c r="W65" s="4" t="n"/>
      <c r="X65" s="4" t="n"/>
    </row>
    <row r="66" ht="38" customHeight="1">
      <c r="A66" s="29" t="n"/>
      <c r="B66" s="6" t="n"/>
      <c r="C66" s="6" t="n"/>
      <c r="D66" s="6" t="n"/>
      <c r="E66" s="6" t="n"/>
      <c r="F66" s="6" t="n"/>
      <c r="G66" s="12" t="n"/>
      <c r="H66" s="12" t="n"/>
      <c r="I66" s="6" t="n"/>
      <c r="J66" s="6" t="n"/>
      <c r="K66" s="22">
        <f>IFERROR(J66/I66,"")</f>
        <v/>
      </c>
      <c r="L66" s="12">
        <f>IFERROR(M66/J66,"")</f>
        <v/>
      </c>
      <c r="M66" s="12" t="n"/>
      <c r="N66" s="6" t="n"/>
      <c r="O66" s="22">
        <f>IFERROR(N66/J66,"")</f>
        <v/>
      </c>
      <c r="P66" s="12" t="n"/>
      <c r="Q66" s="22">
        <f>IFERROR(M66/P66,"")</f>
        <v/>
      </c>
      <c r="R66" s="30">
        <f>IFERROR(P66/M66,"")</f>
        <v/>
      </c>
      <c r="S66" s="6" t="n"/>
      <c r="T66" s="12" t="n"/>
      <c r="U66" s="6" t="n"/>
      <c r="V66" s="6" t="n"/>
      <c r="W66" s="6" t="n"/>
      <c r="X66" s="6" t="n"/>
    </row>
    <row r="67" ht="38" customHeight="1">
      <c r="A67" s="27" t="n"/>
      <c r="B67" s="4" t="n"/>
      <c r="C67" s="4" t="n"/>
      <c r="D67" s="4" t="n"/>
      <c r="E67" s="4" t="n"/>
      <c r="F67" s="4" t="n"/>
      <c r="G67" s="10" t="n"/>
      <c r="H67" s="10" t="n"/>
      <c r="I67" s="4" t="n"/>
      <c r="J67" s="4" t="n"/>
      <c r="K67" s="24">
        <f>IFERROR(J67/I67,"")</f>
        <v/>
      </c>
      <c r="L67" s="10">
        <f>IFERROR(M67/J67,"")</f>
        <v/>
      </c>
      <c r="M67" s="10" t="n"/>
      <c r="N67" s="4" t="n"/>
      <c r="O67" s="24">
        <f>IFERROR(N67/J67,"")</f>
        <v/>
      </c>
      <c r="P67" s="10" t="n"/>
      <c r="Q67" s="24">
        <f>IFERROR(M67/P67,"")</f>
        <v/>
      </c>
      <c r="R67" s="28">
        <f>IFERROR(P67/M67,"")</f>
        <v/>
      </c>
      <c r="S67" s="4" t="n"/>
      <c r="T67" s="10" t="n"/>
      <c r="U67" s="4" t="n"/>
      <c r="V67" s="4" t="n"/>
      <c r="W67" s="4" t="n"/>
      <c r="X67" s="4" t="n"/>
    </row>
    <row r="68" ht="38" customHeight="1">
      <c r="A68" s="29" t="n"/>
      <c r="B68" s="6" t="n"/>
      <c r="C68" s="6" t="n"/>
      <c r="D68" s="6" t="n"/>
      <c r="E68" s="6" t="n"/>
      <c r="F68" s="6" t="n"/>
      <c r="G68" s="12" t="n"/>
      <c r="H68" s="12" t="n"/>
      <c r="I68" s="6" t="n"/>
      <c r="J68" s="6" t="n"/>
      <c r="K68" s="22">
        <f>IFERROR(J68/I68,"")</f>
        <v/>
      </c>
      <c r="L68" s="12">
        <f>IFERROR(M68/J68,"")</f>
        <v/>
      </c>
      <c r="M68" s="12" t="n"/>
      <c r="N68" s="6" t="n"/>
      <c r="O68" s="22">
        <f>IFERROR(N68/J68,"")</f>
        <v/>
      </c>
      <c r="P68" s="12" t="n"/>
      <c r="Q68" s="22">
        <f>IFERROR(M68/P68,"")</f>
        <v/>
      </c>
      <c r="R68" s="30">
        <f>IFERROR(P68/M68,"")</f>
        <v/>
      </c>
      <c r="S68" s="6" t="n"/>
      <c r="T68" s="12" t="n"/>
      <c r="U68" s="6" t="n"/>
      <c r="V68" s="6" t="n"/>
      <c r="W68" s="6" t="n"/>
      <c r="X68" s="6" t="n"/>
    </row>
    <row r="69" ht="38" customHeight="1">
      <c r="A69" s="27" t="n"/>
      <c r="B69" s="4" t="n"/>
      <c r="C69" s="4" t="n"/>
      <c r="D69" s="4" t="n"/>
      <c r="E69" s="4" t="n"/>
      <c r="F69" s="4" t="n"/>
      <c r="G69" s="10" t="n"/>
      <c r="H69" s="10" t="n"/>
      <c r="I69" s="4" t="n"/>
      <c r="J69" s="4" t="n"/>
      <c r="K69" s="24">
        <f>IFERROR(J69/I69,"")</f>
        <v/>
      </c>
      <c r="L69" s="10">
        <f>IFERROR(M69/J69,"")</f>
        <v/>
      </c>
      <c r="M69" s="10" t="n"/>
      <c r="N69" s="4" t="n"/>
      <c r="O69" s="24">
        <f>IFERROR(N69/J69,"")</f>
        <v/>
      </c>
      <c r="P69" s="10" t="n"/>
      <c r="Q69" s="24">
        <f>IFERROR(M69/P69,"")</f>
        <v/>
      </c>
      <c r="R69" s="28">
        <f>IFERROR(P69/M69,"")</f>
        <v/>
      </c>
      <c r="S69" s="4" t="n"/>
      <c r="T69" s="10" t="n"/>
      <c r="U69" s="4" t="n"/>
      <c r="V69" s="4" t="n"/>
      <c r="W69" s="4" t="n"/>
      <c r="X69" s="4" t="n"/>
    </row>
    <row r="70" ht="38" customHeight="1">
      <c r="A70" s="29" t="n"/>
      <c r="B70" s="6" t="n"/>
      <c r="C70" s="6" t="n"/>
      <c r="D70" s="6" t="n"/>
      <c r="E70" s="6" t="n"/>
      <c r="F70" s="6" t="n"/>
      <c r="G70" s="12" t="n"/>
      <c r="H70" s="12" t="n"/>
      <c r="I70" s="6" t="n"/>
      <c r="J70" s="6" t="n"/>
      <c r="K70" s="22">
        <f>IFERROR(J70/I70,"")</f>
        <v/>
      </c>
      <c r="L70" s="12">
        <f>IFERROR(M70/J70,"")</f>
        <v/>
      </c>
      <c r="M70" s="12" t="n"/>
      <c r="N70" s="6" t="n"/>
      <c r="O70" s="22">
        <f>IFERROR(N70/J70,"")</f>
        <v/>
      </c>
      <c r="P70" s="12" t="n"/>
      <c r="Q70" s="22">
        <f>IFERROR(M70/P70,"")</f>
        <v/>
      </c>
      <c r="R70" s="30">
        <f>IFERROR(P70/M70,"")</f>
        <v/>
      </c>
      <c r="S70" s="6" t="n"/>
      <c r="T70" s="12" t="n"/>
      <c r="U70" s="6" t="n"/>
      <c r="V70" s="6" t="n"/>
      <c r="W70" s="6" t="n"/>
      <c r="X70" s="6" t="n"/>
    </row>
    <row r="71" ht="38" customHeight="1">
      <c r="A71" s="27" t="n"/>
      <c r="B71" s="4" t="n"/>
      <c r="C71" s="4" t="n"/>
      <c r="D71" s="4" t="n"/>
      <c r="E71" s="4" t="n"/>
      <c r="F71" s="4" t="n"/>
      <c r="G71" s="10" t="n"/>
      <c r="H71" s="10" t="n"/>
      <c r="I71" s="4" t="n"/>
      <c r="J71" s="4" t="n"/>
      <c r="K71" s="24">
        <f>IFERROR(J71/I71,"")</f>
        <v/>
      </c>
      <c r="L71" s="10">
        <f>IFERROR(M71/J71,"")</f>
        <v/>
      </c>
      <c r="M71" s="10" t="n"/>
      <c r="N71" s="4" t="n"/>
      <c r="O71" s="24">
        <f>IFERROR(N71/J71,"")</f>
        <v/>
      </c>
      <c r="P71" s="10" t="n"/>
      <c r="Q71" s="24">
        <f>IFERROR(M71/P71,"")</f>
        <v/>
      </c>
      <c r="R71" s="28">
        <f>IFERROR(P71/M71,"")</f>
        <v/>
      </c>
      <c r="S71" s="4" t="n"/>
      <c r="T71" s="10" t="n"/>
      <c r="U71" s="4" t="n"/>
      <c r="V71" s="4" t="n"/>
      <c r="W71" s="4" t="n"/>
      <c r="X71" s="4" t="n"/>
    </row>
    <row r="72" ht="38" customHeight="1">
      <c r="A72" s="29" t="n"/>
      <c r="B72" s="6" t="n"/>
      <c r="C72" s="6" t="n"/>
      <c r="D72" s="6" t="n"/>
      <c r="E72" s="6" t="n"/>
      <c r="F72" s="6" t="n"/>
      <c r="G72" s="12" t="n"/>
      <c r="H72" s="12" t="n"/>
      <c r="I72" s="6" t="n"/>
      <c r="J72" s="6" t="n"/>
      <c r="K72" s="22">
        <f>IFERROR(J72/I72,"")</f>
        <v/>
      </c>
      <c r="L72" s="12">
        <f>IFERROR(M72/J72,"")</f>
        <v/>
      </c>
      <c r="M72" s="12" t="n"/>
      <c r="N72" s="6" t="n"/>
      <c r="O72" s="22">
        <f>IFERROR(N72/J72,"")</f>
        <v/>
      </c>
      <c r="P72" s="12" t="n"/>
      <c r="Q72" s="22">
        <f>IFERROR(M72/P72,"")</f>
        <v/>
      </c>
      <c r="R72" s="30">
        <f>IFERROR(P72/M72,"")</f>
        <v/>
      </c>
      <c r="S72" s="6" t="n"/>
      <c r="T72" s="12" t="n"/>
      <c r="U72" s="6" t="n"/>
      <c r="V72" s="6" t="n"/>
      <c r="W72" s="6" t="n"/>
      <c r="X72" s="6" t="n"/>
    </row>
    <row r="73" ht="38" customHeight="1">
      <c r="A73" s="27" t="n"/>
      <c r="B73" s="4" t="n"/>
      <c r="C73" s="4" t="n"/>
      <c r="D73" s="4" t="n"/>
      <c r="E73" s="4" t="n"/>
      <c r="F73" s="4" t="n"/>
      <c r="G73" s="10" t="n"/>
      <c r="H73" s="10" t="n"/>
      <c r="I73" s="4" t="n"/>
      <c r="J73" s="4" t="n"/>
      <c r="K73" s="24">
        <f>IFERROR(J73/I73,"")</f>
        <v/>
      </c>
      <c r="L73" s="10">
        <f>IFERROR(M73/J73,"")</f>
        <v/>
      </c>
      <c r="M73" s="10" t="n"/>
      <c r="N73" s="4" t="n"/>
      <c r="O73" s="24">
        <f>IFERROR(N73/J73,"")</f>
        <v/>
      </c>
      <c r="P73" s="10" t="n"/>
      <c r="Q73" s="24">
        <f>IFERROR(M73/P73,"")</f>
        <v/>
      </c>
      <c r="R73" s="28">
        <f>IFERROR(P73/M73,"")</f>
        <v/>
      </c>
      <c r="S73" s="4" t="n"/>
      <c r="T73" s="10" t="n"/>
      <c r="U73" s="4" t="n"/>
      <c r="V73" s="4" t="n"/>
      <c r="W73" s="4" t="n"/>
      <c r="X73" s="4" t="n"/>
    </row>
    <row r="74" ht="38" customHeight="1">
      <c r="A74" s="29" t="n"/>
      <c r="B74" s="6" t="n"/>
      <c r="C74" s="6" t="n"/>
      <c r="D74" s="6" t="n"/>
      <c r="E74" s="6" t="n"/>
      <c r="F74" s="6" t="n"/>
      <c r="G74" s="12" t="n"/>
      <c r="H74" s="12" t="n"/>
      <c r="I74" s="6" t="n"/>
      <c r="J74" s="6" t="n"/>
      <c r="K74" s="22">
        <f>IFERROR(J74/I74,"")</f>
        <v/>
      </c>
      <c r="L74" s="12">
        <f>IFERROR(M74/J74,"")</f>
        <v/>
      </c>
      <c r="M74" s="12" t="n"/>
      <c r="N74" s="6" t="n"/>
      <c r="O74" s="22">
        <f>IFERROR(N74/J74,"")</f>
        <v/>
      </c>
      <c r="P74" s="12" t="n"/>
      <c r="Q74" s="22">
        <f>IFERROR(M74/P74,"")</f>
        <v/>
      </c>
      <c r="R74" s="30">
        <f>IFERROR(P74/M74,"")</f>
        <v/>
      </c>
      <c r="S74" s="6" t="n"/>
      <c r="T74" s="12" t="n"/>
      <c r="U74" s="6" t="n"/>
      <c r="V74" s="6" t="n"/>
      <c r="W74" s="6" t="n"/>
      <c r="X74" s="6" t="n"/>
    </row>
    <row r="75" ht="38" customHeight="1">
      <c r="A75" s="27" t="n"/>
      <c r="B75" s="4" t="n"/>
      <c r="C75" s="4" t="n"/>
      <c r="D75" s="4" t="n"/>
      <c r="E75" s="4" t="n"/>
      <c r="F75" s="4" t="n"/>
      <c r="G75" s="10" t="n"/>
      <c r="H75" s="10" t="n"/>
      <c r="I75" s="4" t="n"/>
      <c r="J75" s="4" t="n"/>
      <c r="K75" s="24">
        <f>IFERROR(J75/I75,"")</f>
        <v/>
      </c>
      <c r="L75" s="10">
        <f>IFERROR(M75/J75,"")</f>
        <v/>
      </c>
      <c r="M75" s="10" t="n"/>
      <c r="N75" s="4" t="n"/>
      <c r="O75" s="24">
        <f>IFERROR(N75/J75,"")</f>
        <v/>
      </c>
      <c r="P75" s="10" t="n"/>
      <c r="Q75" s="24">
        <f>IFERROR(M75/P75,"")</f>
        <v/>
      </c>
      <c r="R75" s="28">
        <f>IFERROR(P75/M75,"")</f>
        <v/>
      </c>
      <c r="S75" s="4" t="n"/>
      <c r="T75" s="10" t="n"/>
      <c r="U75" s="4" t="n"/>
      <c r="V75" s="4" t="n"/>
      <c r="W75" s="4" t="n"/>
      <c r="X75" s="4" t="n"/>
    </row>
    <row r="76" ht="38" customHeight="1">
      <c r="A76" s="29" t="n"/>
      <c r="B76" s="6" t="n"/>
      <c r="C76" s="6" t="n"/>
      <c r="D76" s="6" t="n"/>
      <c r="E76" s="6" t="n"/>
      <c r="F76" s="6" t="n"/>
      <c r="G76" s="12" t="n"/>
      <c r="H76" s="12" t="n"/>
      <c r="I76" s="6" t="n"/>
      <c r="J76" s="6" t="n"/>
      <c r="K76" s="22">
        <f>IFERROR(J76/I76,"")</f>
        <v/>
      </c>
      <c r="L76" s="12">
        <f>IFERROR(M76/J76,"")</f>
        <v/>
      </c>
      <c r="M76" s="12" t="n"/>
      <c r="N76" s="6" t="n"/>
      <c r="O76" s="22">
        <f>IFERROR(N76/J76,"")</f>
        <v/>
      </c>
      <c r="P76" s="12" t="n"/>
      <c r="Q76" s="22">
        <f>IFERROR(M76/P76,"")</f>
        <v/>
      </c>
      <c r="R76" s="30">
        <f>IFERROR(P76/M76,"")</f>
        <v/>
      </c>
      <c r="S76" s="6" t="n"/>
      <c r="T76" s="12" t="n"/>
      <c r="U76" s="6" t="n"/>
      <c r="V76" s="6" t="n"/>
      <c r="W76" s="6" t="n"/>
      <c r="X76" s="6" t="n"/>
    </row>
    <row r="77" ht="38" customHeight="1">
      <c r="A77" s="27" t="n"/>
      <c r="B77" s="4" t="n"/>
      <c r="C77" s="4" t="n"/>
      <c r="D77" s="4" t="n"/>
      <c r="E77" s="4" t="n"/>
      <c r="F77" s="4" t="n"/>
      <c r="G77" s="10" t="n"/>
      <c r="H77" s="10" t="n"/>
      <c r="I77" s="4" t="n"/>
      <c r="J77" s="4" t="n"/>
      <c r="K77" s="24">
        <f>IFERROR(J77/I77,"")</f>
        <v/>
      </c>
      <c r="L77" s="10">
        <f>IFERROR(M77/J77,"")</f>
        <v/>
      </c>
      <c r="M77" s="10" t="n"/>
      <c r="N77" s="4" t="n"/>
      <c r="O77" s="24">
        <f>IFERROR(N77/J77,"")</f>
        <v/>
      </c>
      <c r="P77" s="10" t="n"/>
      <c r="Q77" s="24">
        <f>IFERROR(M77/P77,"")</f>
        <v/>
      </c>
      <c r="R77" s="28">
        <f>IFERROR(P77/M77,"")</f>
        <v/>
      </c>
      <c r="S77" s="4" t="n"/>
      <c r="T77" s="10" t="n"/>
      <c r="U77" s="4" t="n"/>
      <c r="V77" s="4" t="n"/>
      <c r="W77" s="4" t="n"/>
      <c r="X77" s="4" t="n"/>
    </row>
    <row r="78" ht="38" customHeight="1">
      <c r="A78" s="29" t="n"/>
      <c r="B78" s="6" t="n"/>
      <c r="C78" s="6" t="n"/>
      <c r="D78" s="6" t="n"/>
      <c r="E78" s="6" t="n"/>
      <c r="F78" s="6" t="n"/>
      <c r="G78" s="12" t="n"/>
      <c r="H78" s="12" t="n"/>
      <c r="I78" s="6" t="n"/>
      <c r="J78" s="6" t="n"/>
      <c r="K78" s="22">
        <f>IFERROR(J78/I78,"")</f>
        <v/>
      </c>
      <c r="L78" s="12">
        <f>IFERROR(M78/J78,"")</f>
        <v/>
      </c>
      <c r="M78" s="12" t="n"/>
      <c r="N78" s="6" t="n"/>
      <c r="O78" s="22">
        <f>IFERROR(N78/J78,"")</f>
        <v/>
      </c>
      <c r="P78" s="12" t="n"/>
      <c r="Q78" s="22">
        <f>IFERROR(M78/P78,"")</f>
        <v/>
      </c>
      <c r="R78" s="30">
        <f>IFERROR(P78/M78,"")</f>
        <v/>
      </c>
      <c r="S78" s="6" t="n"/>
      <c r="T78" s="12" t="n"/>
      <c r="U78" s="6" t="n"/>
      <c r="V78" s="6" t="n"/>
      <c r="W78" s="6" t="n"/>
      <c r="X78" s="6" t="n"/>
    </row>
    <row r="79" ht="38" customHeight="1">
      <c r="A79" s="27" t="n"/>
      <c r="B79" s="4" t="n"/>
      <c r="C79" s="4" t="n"/>
      <c r="D79" s="4" t="n"/>
      <c r="E79" s="4" t="n"/>
      <c r="F79" s="4" t="n"/>
      <c r="G79" s="10" t="n"/>
      <c r="H79" s="10" t="n"/>
      <c r="I79" s="4" t="n"/>
      <c r="J79" s="4" t="n"/>
      <c r="K79" s="24">
        <f>IFERROR(J79/I79,"")</f>
        <v/>
      </c>
      <c r="L79" s="10">
        <f>IFERROR(M79/J79,"")</f>
        <v/>
      </c>
      <c r="M79" s="10" t="n"/>
      <c r="N79" s="4" t="n"/>
      <c r="O79" s="24">
        <f>IFERROR(N79/J79,"")</f>
        <v/>
      </c>
      <c r="P79" s="10" t="n"/>
      <c r="Q79" s="24">
        <f>IFERROR(M79/P79,"")</f>
        <v/>
      </c>
      <c r="R79" s="28">
        <f>IFERROR(P79/M79,"")</f>
        <v/>
      </c>
      <c r="S79" s="4" t="n"/>
      <c r="T79" s="10" t="n"/>
      <c r="U79" s="4" t="n"/>
      <c r="V79" s="4" t="n"/>
      <c r="W79" s="4" t="n"/>
      <c r="X79" s="4" t="n"/>
    </row>
    <row r="80" ht="38" customHeight="1">
      <c r="A80" s="29" t="n"/>
      <c r="B80" s="6" t="n"/>
      <c r="C80" s="6" t="n"/>
      <c r="D80" s="6" t="n"/>
      <c r="E80" s="6" t="n"/>
      <c r="F80" s="6" t="n"/>
      <c r="G80" s="12" t="n"/>
      <c r="H80" s="12" t="n"/>
      <c r="I80" s="6" t="n"/>
      <c r="J80" s="6" t="n"/>
      <c r="K80" s="22">
        <f>IFERROR(J80/I80,"")</f>
        <v/>
      </c>
      <c r="L80" s="12">
        <f>IFERROR(M80/J80,"")</f>
        <v/>
      </c>
      <c r="M80" s="12" t="n"/>
      <c r="N80" s="6" t="n"/>
      <c r="O80" s="22">
        <f>IFERROR(N80/J80,"")</f>
        <v/>
      </c>
      <c r="P80" s="12" t="n"/>
      <c r="Q80" s="22">
        <f>IFERROR(M80/P80,"")</f>
        <v/>
      </c>
      <c r="R80" s="30">
        <f>IFERROR(P80/M80,"")</f>
        <v/>
      </c>
      <c r="S80" s="6" t="n"/>
      <c r="T80" s="12" t="n"/>
      <c r="U80" s="6" t="n"/>
      <c r="V80" s="6" t="n"/>
      <c r="W80" s="6" t="n"/>
      <c r="X80" s="6" t="n"/>
    </row>
    <row r="81" ht="38" customHeight="1">
      <c r="A81" s="27" t="n"/>
      <c r="B81" s="4" t="n"/>
      <c r="C81" s="4" t="n"/>
      <c r="D81" s="4" t="n"/>
      <c r="E81" s="4" t="n"/>
      <c r="F81" s="4" t="n"/>
      <c r="G81" s="10" t="n"/>
      <c r="H81" s="10" t="n"/>
      <c r="I81" s="4" t="n"/>
      <c r="J81" s="4" t="n"/>
      <c r="K81" s="24">
        <f>IFERROR(J81/I81,"")</f>
        <v/>
      </c>
      <c r="L81" s="10">
        <f>IFERROR(M81/J81,"")</f>
        <v/>
      </c>
      <c r="M81" s="10" t="n"/>
      <c r="N81" s="4" t="n"/>
      <c r="O81" s="24">
        <f>IFERROR(N81/J81,"")</f>
        <v/>
      </c>
      <c r="P81" s="10" t="n"/>
      <c r="Q81" s="24">
        <f>IFERROR(M81/P81,"")</f>
        <v/>
      </c>
      <c r="R81" s="28">
        <f>IFERROR(P81/M81,"")</f>
        <v/>
      </c>
      <c r="S81" s="4" t="n"/>
      <c r="T81" s="10" t="n"/>
      <c r="U81" s="4" t="n"/>
      <c r="V81" s="4" t="n"/>
      <c r="W81" s="4" t="n"/>
      <c r="X81" s="4" t="n"/>
    </row>
    <row r="82" ht="38" customHeight="1">
      <c r="A82" s="29" t="n"/>
      <c r="B82" s="6" t="n"/>
      <c r="C82" s="6" t="n"/>
      <c r="D82" s="6" t="n"/>
      <c r="E82" s="6" t="n"/>
      <c r="F82" s="6" t="n"/>
      <c r="G82" s="12" t="n"/>
      <c r="H82" s="12" t="n"/>
      <c r="I82" s="6" t="n"/>
      <c r="J82" s="6" t="n"/>
      <c r="K82" s="22">
        <f>IFERROR(J82/I82,"")</f>
        <v/>
      </c>
      <c r="L82" s="12">
        <f>IFERROR(M82/J82,"")</f>
        <v/>
      </c>
      <c r="M82" s="12" t="n"/>
      <c r="N82" s="6" t="n"/>
      <c r="O82" s="22">
        <f>IFERROR(N82/J82,"")</f>
        <v/>
      </c>
      <c r="P82" s="12" t="n"/>
      <c r="Q82" s="22">
        <f>IFERROR(M82/P82,"")</f>
        <v/>
      </c>
      <c r="R82" s="30">
        <f>IFERROR(P82/M82,"")</f>
        <v/>
      </c>
      <c r="S82" s="6" t="n"/>
      <c r="T82" s="12" t="n"/>
      <c r="U82" s="6" t="n"/>
      <c r="V82" s="6" t="n"/>
      <c r="W82" s="6" t="n"/>
      <c r="X82" s="6" t="n"/>
    </row>
    <row r="83" ht="38" customHeight="1">
      <c r="A83" s="27" t="n"/>
      <c r="B83" s="4" t="n"/>
      <c r="C83" s="4" t="n"/>
      <c r="D83" s="4" t="n"/>
      <c r="E83" s="4" t="n"/>
      <c r="F83" s="4" t="n"/>
      <c r="G83" s="10" t="n"/>
      <c r="H83" s="10" t="n"/>
      <c r="I83" s="4" t="n"/>
      <c r="J83" s="4" t="n"/>
      <c r="K83" s="24">
        <f>IFERROR(J83/I83,"")</f>
        <v/>
      </c>
      <c r="L83" s="10">
        <f>IFERROR(M83/J83,"")</f>
        <v/>
      </c>
      <c r="M83" s="10" t="n"/>
      <c r="N83" s="4" t="n"/>
      <c r="O83" s="24">
        <f>IFERROR(N83/J83,"")</f>
        <v/>
      </c>
      <c r="P83" s="10" t="n"/>
      <c r="Q83" s="24">
        <f>IFERROR(M83/P83,"")</f>
        <v/>
      </c>
      <c r="R83" s="28">
        <f>IFERROR(P83/M83,"")</f>
        <v/>
      </c>
      <c r="S83" s="4" t="n"/>
      <c r="T83" s="10" t="n"/>
      <c r="U83" s="4" t="n"/>
      <c r="V83" s="4" t="n"/>
      <c r="W83" s="4" t="n"/>
      <c r="X83" s="4" t="n"/>
    </row>
    <row r="84" ht="38" customHeight="1">
      <c r="A84" s="29" t="n"/>
      <c r="B84" s="6" t="n"/>
      <c r="C84" s="6" t="n"/>
      <c r="D84" s="6" t="n"/>
      <c r="E84" s="6" t="n"/>
      <c r="F84" s="6" t="n"/>
      <c r="G84" s="12" t="n"/>
      <c r="H84" s="12" t="n"/>
      <c r="I84" s="6" t="n"/>
      <c r="J84" s="6" t="n"/>
      <c r="K84" s="22">
        <f>IFERROR(J84/I84,"")</f>
        <v/>
      </c>
      <c r="L84" s="12">
        <f>IFERROR(M84/J84,"")</f>
        <v/>
      </c>
      <c r="M84" s="12" t="n"/>
      <c r="N84" s="6" t="n"/>
      <c r="O84" s="22">
        <f>IFERROR(N84/J84,"")</f>
        <v/>
      </c>
      <c r="P84" s="12" t="n"/>
      <c r="Q84" s="22">
        <f>IFERROR(M84/P84,"")</f>
        <v/>
      </c>
      <c r="R84" s="30">
        <f>IFERROR(P84/M84,"")</f>
        <v/>
      </c>
      <c r="S84" s="6" t="n"/>
      <c r="T84" s="12" t="n"/>
      <c r="U84" s="6" t="n"/>
      <c r="V84" s="6" t="n"/>
      <c r="W84" s="6" t="n"/>
      <c r="X84" s="6" t="n"/>
    </row>
    <row r="85" ht="38" customHeight="1">
      <c r="A85" s="27" t="n"/>
      <c r="B85" s="4" t="n"/>
      <c r="C85" s="4" t="n"/>
      <c r="D85" s="4" t="n"/>
      <c r="E85" s="4" t="n"/>
      <c r="F85" s="4" t="n"/>
      <c r="G85" s="10" t="n"/>
      <c r="H85" s="10" t="n"/>
      <c r="I85" s="4" t="n"/>
      <c r="J85" s="4" t="n"/>
      <c r="K85" s="24">
        <f>IFERROR(J85/I85,"")</f>
        <v/>
      </c>
      <c r="L85" s="10">
        <f>IFERROR(M85/J85,"")</f>
        <v/>
      </c>
      <c r="M85" s="10" t="n"/>
      <c r="N85" s="4" t="n"/>
      <c r="O85" s="24">
        <f>IFERROR(N85/J85,"")</f>
        <v/>
      </c>
      <c r="P85" s="10" t="n"/>
      <c r="Q85" s="24">
        <f>IFERROR(M85/P85,"")</f>
        <v/>
      </c>
      <c r="R85" s="28">
        <f>IFERROR(P85/M85,"")</f>
        <v/>
      </c>
      <c r="S85" s="4" t="n"/>
      <c r="T85" s="10" t="n"/>
      <c r="U85" s="4" t="n"/>
      <c r="V85" s="4" t="n"/>
      <c r="W85" s="4" t="n"/>
      <c r="X85" s="4" t="n"/>
    </row>
    <row r="86" ht="38" customHeight="1">
      <c r="A86" s="29" t="n"/>
      <c r="B86" s="6" t="n"/>
      <c r="C86" s="6" t="n"/>
      <c r="D86" s="6" t="n"/>
      <c r="E86" s="6" t="n"/>
      <c r="F86" s="6" t="n"/>
      <c r="G86" s="12" t="n"/>
      <c r="H86" s="12" t="n"/>
      <c r="I86" s="6" t="n"/>
      <c r="J86" s="6" t="n"/>
      <c r="K86" s="22">
        <f>IFERROR(J86/I86,"")</f>
        <v/>
      </c>
      <c r="L86" s="12">
        <f>IFERROR(M86/J86,"")</f>
        <v/>
      </c>
      <c r="M86" s="12" t="n"/>
      <c r="N86" s="6" t="n"/>
      <c r="O86" s="22">
        <f>IFERROR(N86/J86,"")</f>
        <v/>
      </c>
      <c r="P86" s="12" t="n"/>
      <c r="Q86" s="22">
        <f>IFERROR(M86/P86,"")</f>
        <v/>
      </c>
      <c r="R86" s="30">
        <f>IFERROR(P86/M86,"")</f>
        <v/>
      </c>
      <c r="S86" s="6" t="n"/>
      <c r="T86" s="12" t="n"/>
      <c r="U86" s="6" t="n"/>
      <c r="V86" s="6" t="n"/>
      <c r="W86" s="6" t="n"/>
      <c r="X86" s="6" t="n"/>
    </row>
    <row r="87" ht="38" customHeight="1">
      <c r="A87" s="27" t="n"/>
      <c r="B87" s="4" t="n"/>
      <c r="C87" s="4" t="n"/>
      <c r="D87" s="4" t="n"/>
      <c r="E87" s="4" t="n"/>
      <c r="F87" s="4" t="n"/>
      <c r="G87" s="10" t="n"/>
      <c r="H87" s="10" t="n"/>
      <c r="I87" s="4" t="n"/>
      <c r="J87" s="4" t="n"/>
      <c r="K87" s="24">
        <f>IFERROR(J87/I87,"")</f>
        <v/>
      </c>
      <c r="L87" s="10">
        <f>IFERROR(M87/J87,"")</f>
        <v/>
      </c>
      <c r="M87" s="10" t="n"/>
      <c r="N87" s="4" t="n"/>
      <c r="O87" s="24">
        <f>IFERROR(N87/J87,"")</f>
        <v/>
      </c>
      <c r="P87" s="10" t="n"/>
      <c r="Q87" s="24">
        <f>IFERROR(M87/P87,"")</f>
        <v/>
      </c>
      <c r="R87" s="28">
        <f>IFERROR(P87/M87,"")</f>
        <v/>
      </c>
      <c r="S87" s="4" t="n"/>
      <c r="T87" s="10" t="n"/>
      <c r="U87" s="4" t="n"/>
      <c r="V87" s="4" t="n"/>
      <c r="W87" s="4" t="n"/>
      <c r="X87" s="4" t="n"/>
    </row>
    <row r="88" ht="38" customHeight="1">
      <c r="A88" s="29" t="n"/>
      <c r="B88" s="6" t="n"/>
      <c r="C88" s="6" t="n"/>
      <c r="D88" s="6" t="n"/>
      <c r="E88" s="6" t="n"/>
      <c r="F88" s="6" t="n"/>
      <c r="G88" s="12" t="n"/>
      <c r="H88" s="12" t="n"/>
      <c r="I88" s="6" t="n"/>
      <c r="J88" s="6" t="n"/>
      <c r="K88" s="22">
        <f>IFERROR(J88/I88,"")</f>
        <v/>
      </c>
      <c r="L88" s="12">
        <f>IFERROR(M88/J88,"")</f>
        <v/>
      </c>
      <c r="M88" s="12" t="n"/>
      <c r="N88" s="6" t="n"/>
      <c r="O88" s="22">
        <f>IFERROR(N88/J88,"")</f>
        <v/>
      </c>
      <c r="P88" s="12" t="n"/>
      <c r="Q88" s="22">
        <f>IFERROR(M88/P88,"")</f>
        <v/>
      </c>
      <c r="R88" s="30">
        <f>IFERROR(P88/M88,"")</f>
        <v/>
      </c>
      <c r="S88" s="6" t="n"/>
      <c r="T88" s="12" t="n"/>
      <c r="U88" s="6" t="n"/>
      <c r="V88" s="6" t="n"/>
      <c r="W88" s="6" t="n"/>
      <c r="X88" s="6" t="n"/>
    </row>
    <row r="89" ht="38" customHeight="1">
      <c r="A89" s="27" t="n"/>
      <c r="B89" s="4" t="n"/>
      <c r="C89" s="4" t="n"/>
      <c r="D89" s="4" t="n"/>
      <c r="E89" s="4" t="n"/>
      <c r="F89" s="4" t="n"/>
      <c r="G89" s="10" t="n"/>
      <c r="H89" s="10" t="n"/>
      <c r="I89" s="4" t="n"/>
      <c r="J89" s="4" t="n"/>
      <c r="K89" s="24">
        <f>IFERROR(J89/I89,"")</f>
        <v/>
      </c>
      <c r="L89" s="10">
        <f>IFERROR(M89/J89,"")</f>
        <v/>
      </c>
      <c r="M89" s="10" t="n"/>
      <c r="N89" s="4" t="n"/>
      <c r="O89" s="24">
        <f>IFERROR(N89/J89,"")</f>
        <v/>
      </c>
      <c r="P89" s="10" t="n"/>
      <c r="Q89" s="24">
        <f>IFERROR(M89/P89,"")</f>
        <v/>
      </c>
      <c r="R89" s="28">
        <f>IFERROR(P89/M89,"")</f>
        <v/>
      </c>
      <c r="S89" s="4" t="n"/>
      <c r="T89" s="10" t="n"/>
      <c r="U89" s="4" t="n"/>
      <c r="V89" s="4" t="n"/>
      <c r="W89" s="4" t="n"/>
      <c r="X89" s="4" t="n"/>
    </row>
    <row r="90" ht="38" customHeight="1">
      <c r="A90" s="29" t="n"/>
      <c r="B90" s="6" t="n"/>
      <c r="C90" s="6" t="n"/>
      <c r="D90" s="6" t="n"/>
      <c r="E90" s="6" t="n"/>
      <c r="F90" s="6" t="n"/>
      <c r="G90" s="12" t="n"/>
      <c r="H90" s="12" t="n"/>
      <c r="I90" s="6" t="n"/>
      <c r="J90" s="6" t="n"/>
      <c r="K90" s="22">
        <f>IFERROR(J90/I90,"")</f>
        <v/>
      </c>
      <c r="L90" s="12">
        <f>IFERROR(M90/J90,"")</f>
        <v/>
      </c>
      <c r="M90" s="12" t="n"/>
      <c r="N90" s="6" t="n"/>
      <c r="O90" s="22">
        <f>IFERROR(N90/J90,"")</f>
        <v/>
      </c>
      <c r="P90" s="12" t="n"/>
      <c r="Q90" s="22">
        <f>IFERROR(M90/P90,"")</f>
        <v/>
      </c>
      <c r="R90" s="30">
        <f>IFERROR(P90/M90,"")</f>
        <v/>
      </c>
      <c r="S90" s="6" t="n"/>
      <c r="T90" s="12" t="n"/>
      <c r="U90" s="6" t="n"/>
      <c r="V90" s="6" t="n"/>
      <c r="W90" s="6" t="n"/>
      <c r="X90" s="6" t="n"/>
    </row>
    <row r="91" ht="38" customHeight="1">
      <c r="A91" s="27" t="n"/>
      <c r="B91" s="4" t="n"/>
      <c r="C91" s="4" t="n"/>
      <c r="D91" s="4" t="n"/>
      <c r="E91" s="4" t="n"/>
      <c r="F91" s="4" t="n"/>
      <c r="G91" s="10" t="n"/>
      <c r="H91" s="10" t="n"/>
      <c r="I91" s="4" t="n"/>
      <c r="J91" s="4" t="n"/>
      <c r="K91" s="24">
        <f>IFERROR(J91/I91,"")</f>
        <v/>
      </c>
      <c r="L91" s="10">
        <f>IFERROR(M91/J91,"")</f>
        <v/>
      </c>
      <c r="M91" s="10" t="n"/>
      <c r="N91" s="4" t="n"/>
      <c r="O91" s="24">
        <f>IFERROR(N91/J91,"")</f>
        <v/>
      </c>
      <c r="P91" s="10" t="n"/>
      <c r="Q91" s="24">
        <f>IFERROR(M91/P91,"")</f>
        <v/>
      </c>
      <c r="R91" s="28">
        <f>IFERROR(P91/M91,"")</f>
        <v/>
      </c>
      <c r="S91" s="4" t="n"/>
      <c r="T91" s="10" t="n"/>
      <c r="U91" s="4" t="n"/>
      <c r="V91" s="4" t="n"/>
      <c r="W91" s="4" t="n"/>
      <c r="X91" s="4" t="n"/>
    </row>
    <row r="92" ht="38" customHeight="1">
      <c r="A92" s="29" t="n"/>
      <c r="B92" s="6" t="n"/>
      <c r="C92" s="6" t="n"/>
      <c r="D92" s="6" t="n"/>
      <c r="E92" s="6" t="n"/>
      <c r="F92" s="6" t="n"/>
      <c r="G92" s="12" t="n"/>
      <c r="H92" s="12" t="n"/>
      <c r="I92" s="6" t="n"/>
      <c r="J92" s="6" t="n"/>
      <c r="K92" s="22">
        <f>IFERROR(J92/I92,"")</f>
        <v/>
      </c>
      <c r="L92" s="12">
        <f>IFERROR(M92/J92,"")</f>
        <v/>
      </c>
      <c r="M92" s="12" t="n"/>
      <c r="N92" s="6" t="n"/>
      <c r="O92" s="22">
        <f>IFERROR(N92/J92,"")</f>
        <v/>
      </c>
      <c r="P92" s="12" t="n"/>
      <c r="Q92" s="22">
        <f>IFERROR(M92/P92,"")</f>
        <v/>
      </c>
      <c r="R92" s="30">
        <f>IFERROR(P92/M92,"")</f>
        <v/>
      </c>
      <c r="S92" s="6" t="n"/>
      <c r="T92" s="12" t="n"/>
      <c r="U92" s="6" t="n"/>
      <c r="V92" s="6" t="n"/>
      <c r="W92" s="6" t="n"/>
      <c r="X92" s="6" t="n"/>
    </row>
    <row r="93" ht="38" customHeight="1">
      <c r="A93" s="27" t="n"/>
      <c r="B93" s="4" t="n"/>
      <c r="C93" s="4" t="n"/>
      <c r="D93" s="4" t="n"/>
      <c r="E93" s="4" t="n"/>
      <c r="F93" s="4" t="n"/>
      <c r="G93" s="10" t="n"/>
      <c r="H93" s="10" t="n"/>
      <c r="I93" s="4" t="n"/>
      <c r="J93" s="4" t="n"/>
      <c r="K93" s="24">
        <f>IFERROR(J93/I93,"")</f>
        <v/>
      </c>
      <c r="L93" s="10">
        <f>IFERROR(M93/J93,"")</f>
        <v/>
      </c>
      <c r="M93" s="10" t="n"/>
      <c r="N93" s="4" t="n"/>
      <c r="O93" s="24">
        <f>IFERROR(N93/J93,"")</f>
        <v/>
      </c>
      <c r="P93" s="10" t="n"/>
      <c r="Q93" s="24">
        <f>IFERROR(M93/P93,"")</f>
        <v/>
      </c>
      <c r="R93" s="28">
        <f>IFERROR(P93/M93,"")</f>
        <v/>
      </c>
      <c r="S93" s="4" t="n"/>
      <c r="T93" s="10" t="n"/>
      <c r="U93" s="4" t="n"/>
      <c r="V93" s="4" t="n"/>
      <c r="W93" s="4" t="n"/>
      <c r="X93" s="4" t="n"/>
    </row>
    <row r="94" ht="38" customHeight="1">
      <c r="A94" s="29" t="n"/>
      <c r="B94" s="6" t="n"/>
      <c r="C94" s="6" t="n"/>
      <c r="D94" s="6" t="n"/>
      <c r="E94" s="6" t="n"/>
      <c r="F94" s="6" t="n"/>
      <c r="G94" s="12" t="n"/>
      <c r="H94" s="12" t="n"/>
      <c r="I94" s="6" t="n"/>
      <c r="J94" s="6" t="n"/>
      <c r="K94" s="22">
        <f>IFERROR(J94/I94,"")</f>
        <v/>
      </c>
      <c r="L94" s="12">
        <f>IFERROR(M94/J94,"")</f>
        <v/>
      </c>
      <c r="M94" s="12" t="n"/>
      <c r="N94" s="6" t="n"/>
      <c r="O94" s="22">
        <f>IFERROR(N94/J94,"")</f>
        <v/>
      </c>
      <c r="P94" s="12" t="n"/>
      <c r="Q94" s="22">
        <f>IFERROR(M94/P94,"")</f>
        <v/>
      </c>
      <c r="R94" s="30">
        <f>IFERROR(P94/M94,"")</f>
        <v/>
      </c>
      <c r="S94" s="6" t="n"/>
      <c r="T94" s="12" t="n"/>
      <c r="U94" s="6" t="n"/>
      <c r="V94" s="6" t="n"/>
      <c r="W94" s="6" t="n"/>
      <c r="X94" s="6" t="n"/>
    </row>
    <row r="95" ht="38" customHeight="1">
      <c r="A95" s="27" t="n"/>
      <c r="B95" s="4" t="n"/>
      <c r="C95" s="4" t="n"/>
      <c r="D95" s="4" t="n"/>
      <c r="E95" s="4" t="n"/>
      <c r="F95" s="4" t="n"/>
      <c r="G95" s="10" t="n"/>
      <c r="H95" s="10" t="n"/>
      <c r="I95" s="4" t="n"/>
      <c r="J95" s="4" t="n"/>
      <c r="K95" s="24">
        <f>IFERROR(J95/I95,"")</f>
        <v/>
      </c>
      <c r="L95" s="10">
        <f>IFERROR(M95/J95,"")</f>
        <v/>
      </c>
      <c r="M95" s="10" t="n"/>
      <c r="N95" s="4" t="n"/>
      <c r="O95" s="24">
        <f>IFERROR(N95/J95,"")</f>
        <v/>
      </c>
      <c r="P95" s="10" t="n"/>
      <c r="Q95" s="24">
        <f>IFERROR(M95/P95,"")</f>
        <v/>
      </c>
      <c r="R95" s="28">
        <f>IFERROR(P95/M95,"")</f>
        <v/>
      </c>
      <c r="S95" s="4" t="n"/>
      <c r="T95" s="10" t="n"/>
      <c r="U95" s="4" t="n"/>
      <c r="V95" s="4" t="n"/>
      <c r="W95" s="4" t="n"/>
      <c r="X95" s="4" t="n"/>
    </row>
    <row r="96" ht="38" customHeight="1">
      <c r="A96" s="29" t="n"/>
      <c r="B96" s="6" t="n"/>
      <c r="C96" s="6" t="n"/>
      <c r="D96" s="6" t="n"/>
      <c r="E96" s="6" t="n"/>
      <c r="F96" s="6" t="n"/>
      <c r="G96" s="12" t="n"/>
      <c r="H96" s="12" t="n"/>
      <c r="I96" s="6" t="n"/>
      <c r="J96" s="6" t="n"/>
      <c r="K96" s="22">
        <f>IFERROR(J96/I96,"")</f>
        <v/>
      </c>
      <c r="L96" s="12">
        <f>IFERROR(M96/J96,"")</f>
        <v/>
      </c>
      <c r="M96" s="12" t="n"/>
      <c r="N96" s="6" t="n"/>
      <c r="O96" s="22">
        <f>IFERROR(N96/J96,"")</f>
        <v/>
      </c>
      <c r="P96" s="12" t="n"/>
      <c r="Q96" s="22">
        <f>IFERROR(M96/P96,"")</f>
        <v/>
      </c>
      <c r="R96" s="30">
        <f>IFERROR(P96/M96,"")</f>
        <v/>
      </c>
      <c r="S96" s="6" t="n"/>
      <c r="T96" s="12" t="n"/>
      <c r="U96" s="6" t="n"/>
      <c r="V96" s="6" t="n"/>
      <c r="W96" s="6" t="n"/>
      <c r="X96" s="6" t="n"/>
    </row>
    <row r="97" ht="38" customHeight="1">
      <c r="A97" s="27" t="n"/>
      <c r="B97" s="4" t="n"/>
      <c r="C97" s="4" t="n"/>
      <c r="D97" s="4" t="n"/>
      <c r="E97" s="4" t="n"/>
      <c r="F97" s="4" t="n"/>
      <c r="G97" s="10" t="n"/>
      <c r="H97" s="10" t="n"/>
      <c r="I97" s="4" t="n"/>
      <c r="J97" s="4" t="n"/>
      <c r="K97" s="24">
        <f>IFERROR(J97/I97,"")</f>
        <v/>
      </c>
      <c r="L97" s="10">
        <f>IFERROR(M97/J97,"")</f>
        <v/>
      </c>
      <c r="M97" s="10" t="n"/>
      <c r="N97" s="4" t="n"/>
      <c r="O97" s="24">
        <f>IFERROR(N97/J97,"")</f>
        <v/>
      </c>
      <c r="P97" s="10" t="n"/>
      <c r="Q97" s="24">
        <f>IFERROR(M97/P97,"")</f>
        <v/>
      </c>
      <c r="R97" s="28">
        <f>IFERROR(P97/M97,"")</f>
        <v/>
      </c>
      <c r="S97" s="4" t="n"/>
      <c r="T97" s="10" t="n"/>
      <c r="U97" s="4" t="n"/>
      <c r="V97" s="4" t="n"/>
      <c r="W97" s="4" t="n"/>
      <c r="X97" s="4" t="n"/>
    </row>
    <row r="98" ht="38" customHeight="1">
      <c r="A98" s="29" t="n"/>
      <c r="B98" s="6" t="n"/>
      <c r="C98" s="6" t="n"/>
      <c r="D98" s="6" t="n"/>
      <c r="E98" s="6" t="n"/>
      <c r="F98" s="6" t="n"/>
      <c r="G98" s="12" t="n"/>
      <c r="H98" s="12" t="n"/>
      <c r="I98" s="6" t="n"/>
      <c r="J98" s="6" t="n"/>
      <c r="K98" s="22">
        <f>IFERROR(J98/I98,"")</f>
        <v/>
      </c>
      <c r="L98" s="12">
        <f>IFERROR(M98/J98,"")</f>
        <v/>
      </c>
      <c r="M98" s="12" t="n"/>
      <c r="N98" s="6" t="n"/>
      <c r="O98" s="22">
        <f>IFERROR(N98/J98,"")</f>
        <v/>
      </c>
      <c r="P98" s="12" t="n"/>
      <c r="Q98" s="22">
        <f>IFERROR(M98/P98,"")</f>
        <v/>
      </c>
      <c r="R98" s="30">
        <f>IFERROR(P98/M98,"")</f>
        <v/>
      </c>
      <c r="S98" s="6" t="n"/>
      <c r="T98" s="12" t="n"/>
      <c r="U98" s="6" t="n"/>
      <c r="V98" s="6" t="n"/>
      <c r="W98" s="6" t="n"/>
      <c r="X98" s="6" t="n"/>
    </row>
    <row r="99" ht="38" customHeight="1">
      <c r="A99" s="27" t="n"/>
      <c r="B99" s="4" t="n"/>
      <c r="C99" s="4" t="n"/>
      <c r="D99" s="4" t="n"/>
      <c r="E99" s="4" t="n"/>
      <c r="F99" s="4" t="n"/>
      <c r="G99" s="10" t="n"/>
      <c r="H99" s="10" t="n"/>
      <c r="I99" s="4" t="n"/>
      <c r="J99" s="4" t="n"/>
      <c r="K99" s="24">
        <f>IFERROR(J99/I99,"")</f>
        <v/>
      </c>
      <c r="L99" s="10">
        <f>IFERROR(M99/J99,"")</f>
        <v/>
      </c>
      <c r="M99" s="10" t="n"/>
      <c r="N99" s="4" t="n"/>
      <c r="O99" s="24">
        <f>IFERROR(N99/J99,"")</f>
        <v/>
      </c>
      <c r="P99" s="10" t="n"/>
      <c r="Q99" s="24">
        <f>IFERROR(M99/P99,"")</f>
        <v/>
      </c>
      <c r="R99" s="28">
        <f>IFERROR(P99/M99,"")</f>
        <v/>
      </c>
      <c r="S99" s="4" t="n"/>
      <c r="T99" s="10" t="n"/>
      <c r="U99" s="4" t="n"/>
      <c r="V99" s="4" t="n"/>
      <c r="W99" s="4" t="n"/>
      <c r="X99" s="4" t="n"/>
    </row>
    <row r="100" ht="38" customHeight="1">
      <c r="A100" s="29" t="n"/>
      <c r="B100" s="6" t="n"/>
      <c r="C100" s="6" t="n"/>
      <c r="D100" s="6" t="n"/>
      <c r="E100" s="6" t="n"/>
      <c r="F100" s="6" t="n"/>
      <c r="G100" s="12" t="n"/>
      <c r="H100" s="12" t="n"/>
      <c r="I100" s="6" t="n"/>
      <c r="J100" s="6" t="n"/>
      <c r="K100" s="22">
        <f>IFERROR(J100/I100,"")</f>
        <v/>
      </c>
      <c r="L100" s="12">
        <f>IFERROR(M100/J100,"")</f>
        <v/>
      </c>
      <c r="M100" s="12" t="n"/>
      <c r="N100" s="6" t="n"/>
      <c r="O100" s="22">
        <f>IFERROR(N100/J100,"")</f>
        <v/>
      </c>
      <c r="P100" s="12" t="n"/>
      <c r="Q100" s="22">
        <f>IFERROR(M100/P100,"")</f>
        <v/>
      </c>
      <c r="R100" s="30">
        <f>IFERROR(P100/M100,"")</f>
        <v/>
      </c>
      <c r="S100" s="6" t="n"/>
      <c r="T100" s="12" t="n"/>
      <c r="U100" s="6" t="n"/>
      <c r="V100" s="6" t="n"/>
      <c r="W100" s="6" t="n"/>
      <c r="X100" s="6" t="n"/>
    </row>
    <row r="101" ht="38" customHeight="1">
      <c r="A101" s="27" t="n"/>
      <c r="B101" s="4" t="n"/>
      <c r="C101" s="4" t="n"/>
      <c r="D101" s="4" t="n"/>
      <c r="E101" s="4" t="n"/>
      <c r="F101" s="4" t="n"/>
      <c r="G101" s="10" t="n"/>
      <c r="H101" s="10" t="n"/>
      <c r="I101" s="4" t="n"/>
      <c r="J101" s="4" t="n"/>
      <c r="K101" s="24">
        <f>IFERROR(J101/I101,"")</f>
        <v/>
      </c>
      <c r="L101" s="10">
        <f>IFERROR(M101/J101,"")</f>
        <v/>
      </c>
      <c r="M101" s="10" t="n"/>
      <c r="N101" s="4" t="n"/>
      <c r="O101" s="24">
        <f>IFERROR(N101/J101,"")</f>
        <v/>
      </c>
      <c r="P101" s="10" t="n"/>
      <c r="Q101" s="24">
        <f>IFERROR(M101/P101,"")</f>
        <v/>
      </c>
      <c r="R101" s="28">
        <f>IFERROR(P101/M101,"")</f>
        <v/>
      </c>
      <c r="S101" s="4" t="n"/>
      <c r="T101" s="10" t="n"/>
      <c r="U101" s="4" t="n"/>
      <c r="V101" s="4" t="n"/>
      <c r="W101" s="4" t="n"/>
      <c r="X101" s="4" t="n"/>
    </row>
    <row r="102" ht="38" customHeight="1">
      <c r="A102" s="29" t="n"/>
      <c r="B102" s="6" t="n"/>
      <c r="C102" s="6" t="n"/>
      <c r="D102" s="6" t="n"/>
      <c r="E102" s="6" t="n"/>
      <c r="F102" s="6" t="n"/>
      <c r="G102" s="12" t="n"/>
      <c r="H102" s="12" t="n"/>
      <c r="I102" s="6" t="n"/>
      <c r="J102" s="6" t="n"/>
      <c r="K102" s="22">
        <f>IFERROR(J102/I102,"")</f>
        <v/>
      </c>
      <c r="L102" s="12">
        <f>IFERROR(M102/J102,"")</f>
        <v/>
      </c>
      <c r="M102" s="12" t="n"/>
      <c r="N102" s="6" t="n"/>
      <c r="O102" s="22">
        <f>IFERROR(N102/J102,"")</f>
        <v/>
      </c>
      <c r="P102" s="12" t="n"/>
      <c r="Q102" s="22">
        <f>IFERROR(M102/P102,"")</f>
        <v/>
      </c>
      <c r="R102" s="30">
        <f>IFERROR(P102/M102,"")</f>
        <v/>
      </c>
      <c r="S102" s="6" t="n"/>
      <c r="T102" s="12" t="n"/>
      <c r="U102" s="6" t="n"/>
      <c r="V102" s="6" t="n"/>
      <c r="W102" s="6" t="n"/>
      <c r="X102" s="6" t="n"/>
    </row>
    <row r="103" ht="38" customHeight="1">
      <c r="A103" s="27" t="n"/>
      <c r="B103" s="4" t="n"/>
      <c r="C103" s="4" t="n"/>
      <c r="D103" s="4" t="n"/>
      <c r="E103" s="4" t="n"/>
      <c r="F103" s="4" t="n"/>
      <c r="G103" s="10" t="n"/>
      <c r="H103" s="10" t="n"/>
      <c r="I103" s="4" t="n"/>
      <c r="J103" s="4" t="n"/>
      <c r="K103" s="24">
        <f>IFERROR(J103/I103,"")</f>
        <v/>
      </c>
      <c r="L103" s="10">
        <f>IFERROR(M103/J103,"")</f>
        <v/>
      </c>
      <c r="M103" s="10" t="n"/>
      <c r="N103" s="4" t="n"/>
      <c r="O103" s="24">
        <f>IFERROR(N103/J103,"")</f>
        <v/>
      </c>
      <c r="P103" s="10" t="n"/>
      <c r="Q103" s="24">
        <f>IFERROR(M103/P103,"")</f>
        <v/>
      </c>
      <c r="R103" s="28">
        <f>IFERROR(P103/M103,"")</f>
        <v/>
      </c>
      <c r="S103" s="4" t="n"/>
      <c r="T103" s="10" t="n"/>
      <c r="U103" s="4" t="n"/>
      <c r="V103" s="4" t="n"/>
      <c r="W103" s="4" t="n"/>
      <c r="X103" s="4" t="n"/>
    </row>
    <row r="104" ht="38" customHeight="1">
      <c r="A104" s="29" t="n"/>
      <c r="B104" s="6" t="n"/>
      <c r="C104" s="6" t="n"/>
      <c r="D104" s="6" t="n"/>
      <c r="E104" s="6" t="n"/>
      <c r="F104" s="6" t="n"/>
      <c r="G104" s="12" t="n"/>
      <c r="H104" s="12" t="n"/>
      <c r="I104" s="6" t="n"/>
      <c r="J104" s="6" t="n"/>
      <c r="K104" s="22">
        <f>IFERROR(J104/I104,"")</f>
        <v/>
      </c>
      <c r="L104" s="12">
        <f>IFERROR(M104/J104,"")</f>
        <v/>
      </c>
      <c r="M104" s="12" t="n"/>
      <c r="N104" s="6" t="n"/>
      <c r="O104" s="22">
        <f>IFERROR(N104/J104,"")</f>
        <v/>
      </c>
      <c r="P104" s="12" t="n"/>
      <c r="Q104" s="22">
        <f>IFERROR(M104/P104,"")</f>
        <v/>
      </c>
      <c r="R104" s="30">
        <f>IFERROR(P104/M104,"")</f>
        <v/>
      </c>
      <c r="S104" s="6" t="n"/>
      <c r="T104" s="12" t="n"/>
      <c r="U104" s="6" t="n"/>
      <c r="V104" s="6" t="n"/>
      <c r="W104" s="6" t="n"/>
      <c r="X104" s="6" t="n"/>
    </row>
  </sheetData>
  <autoFilter ref="A4:X104"/>
  <mergeCells count="2">
    <mergeCell ref="A1:J1"/>
    <mergeCell ref="A2:J2"/>
  </mergeCells>
  <conditionalFormatting sqref="Q5:Q104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dataValidations count="3">
    <dataValidation sqref="E5:E104" showDropDown="0" showInputMessage="0" showErrorMessage="0" allowBlank="1" type="list">
      <formula1>"精准,词组,广泛,自动紧密,自动宽泛,自动替代,商品定向"</formula1>
    </dataValidation>
    <dataValidation sqref="F5:F104" showDropDown="0" showInputMessage="0" showErrorMessage="0" allowBlank="1" type="list">
      <formula1>"盈利,排名,探索,增长,竞品"</formula1>
    </dataValidation>
    <dataValidation sqref="W5:W104" showDropDown="0" showInputMessage="0" showErrorMessage="0" allowBlank="1" type="list">
      <formula1>"待观察,加价,降价,加预算,收词,否定,暂停,维持"</formula1>
    </dataValidation>
  </dataValidation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8" customWidth="1" min="3" max="3"/>
    <col width="38" customWidth="1" min="4" max="4"/>
    <col width="14" customWidth="1" min="5" max="5"/>
    <col width="58" customWidth="1" min="6" max="6"/>
  </cols>
  <sheetData>
    <row r="1" ht="30" customHeight="1">
      <c r="A1" s="1" t="inlineStr">
        <is>
          <t>阶段KPI、数据缺口与后续精算项</t>
        </is>
      </c>
    </row>
    <row r="2" ht="28" customHeight="1">
      <c r="A2" s="2" t="inlineStr">
        <is>
          <t>当前方案可用于启动；若要精确到每个词的最高出价，需要卖家后台成本、广告和业务报告。</t>
        </is>
      </c>
    </row>
    <row r="4" ht="28" customHeight="1">
      <c r="A4" s="3" t="inlineStr">
        <is>
          <t>类别</t>
        </is>
      </c>
      <c r="B4" s="3" t="inlineStr">
        <is>
          <t>指标/数据</t>
        </is>
      </c>
      <c r="C4" s="3" t="inlineStr">
        <is>
          <t>当前值/目标</t>
        </is>
      </c>
      <c r="D4" s="3" t="inlineStr">
        <is>
          <t>用途</t>
        </is>
      </c>
      <c r="E4" s="3" t="inlineStr">
        <is>
          <t>优先级</t>
        </is>
      </c>
      <c r="F4" s="3" t="inlineStr">
        <is>
          <t>获取方式/说明</t>
        </is>
      </c>
    </row>
    <row r="5" ht="38" customHeight="1">
      <c r="A5" s="4" t="inlineStr">
        <is>
          <t>当前基线</t>
        </is>
      </c>
      <c r="B5" s="4" t="inlineStr">
        <is>
          <t>流量关键词数</t>
        </is>
      </c>
      <c r="C5" s="4" t="inlineStr">
        <is>
          <t>约229</t>
        </is>
      </c>
      <c r="D5" s="4" t="inlineStr">
        <is>
          <t>判断关键词覆盖规模</t>
        </is>
      </c>
      <c r="E5" s="4" t="inlineStr">
        <is>
          <t>已获取</t>
        </is>
      </c>
      <c r="F5" s="4" t="inlineStr">
        <is>
          <t>外部流量快照</t>
        </is>
      </c>
    </row>
    <row r="6" ht="38" customHeight="1">
      <c r="A6" s="6" t="inlineStr">
        <is>
          <t>当前基线</t>
        </is>
      </c>
      <c r="B6" s="6" t="inlineStr">
        <is>
          <t>自然搜索词数</t>
        </is>
      </c>
      <c r="C6" s="6" t="inlineStr">
        <is>
          <t>约203</t>
        </is>
      </c>
      <c r="D6" s="6" t="inlineStr">
        <is>
          <t>判断自然覆盖基础</t>
        </is>
      </c>
      <c r="E6" s="6" t="inlineStr">
        <is>
          <t>已获取</t>
        </is>
      </c>
      <c r="F6" s="6" t="inlineStr">
        <is>
          <t>外部流量快照</t>
        </is>
      </c>
    </row>
    <row r="7" ht="38" customHeight="1">
      <c r="A7" s="4" t="inlineStr">
        <is>
          <t>当前基线</t>
        </is>
      </c>
      <c r="B7" s="4" t="inlineStr">
        <is>
          <t>广告搜索词数</t>
        </is>
      </c>
      <c r="C7" s="4" t="inlineStr">
        <is>
          <t>约67</t>
        </is>
      </c>
      <c r="D7" s="4" t="inlineStr">
        <is>
          <t>判断广告覆盖规模</t>
        </is>
      </c>
      <c r="E7" s="4" t="inlineStr">
        <is>
          <t>已获取</t>
        </is>
      </c>
      <c r="F7" s="4" t="inlineStr">
        <is>
          <t>外部流量快照</t>
        </is>
      </c>
    </row>
    <row r="8" ht="38" customHeight="1">
      <c r="A8" s="6" t="inlineStr">
        <is>
          <t>结构目标</t>
        </is>
      </c>
      <c r="B8" s="6" t="inlineStr">
        <is>
          <t>bike lock关键词流量占比</t>
        </is>
      </c>
      <c r="C8" s="6" t="inlineStr">
        <is>
          <t>约65.4% → 45天目标低于50%</t>
        </is>
      </c>
      <c r="D8" s="6" t="inlineStr">
        <is>
          <t>降低单词依赖</t>
        </is>
      </c>
      <c r="E8" s="6" t="inlineStr">
        <is>
          <t>高</t>
        </is>
      </c>
      <c r="F8" s="6" t="inlineStr">
        <is>
          <t>通过增长其他相关词实现，不主动压制有效流量</t>
        </is>
      </c>
    </row>
    <row r="9" ht="38" customHeight="1">
      <c r="A9" s="4" t="inlineStr">
        <is>
          <t>排名目标</t>
        </is>
      </c>
      <c r="B9" s="4" t="inlineStr">
        <is>
          <t>bike lock自然位置</t>
        </is>
      </c>
      <c r="C9" s="4" t="inlineStr">
        <is>
          <t>约60 → 40–50</t>
        </is>
      </c>
      <c r="D9" s="4" t="inlineStr">
        <is>
          <t>大词排名管理</t>
        </is>
      </c>
      <c r="E9" s="4" t="inlineStr">
        <is>
          <t>高</t>
        </is>
      </c>
      <c r="F9" s="4" t="inlineStr">
        <is>
          <t>每周同一时间记录</t>
        </is>
      </c>
    </row>
    <row r="10" ht="38" customHeight="1">
      <c r="A10" s="6" t="inlineStr">
        <is>
          <t>排名目标</t>
        </is>
      </c>
      <c r="B10" s="6" t="inlineStr">
        <is>
          <t>bike lock cable自然位置</t>
        </is>
      </c>
      <c r="C10" s="6" t="inlineStr">
        <is>
          <t>约54 → 30–40</t>
        </is>
      </c>
      <c r="D10" s="6" t="inlineStr">
        <is>
          <t>核心增长词</t>
        </is>
      </c>
      <c r="E10" s="6" t="inlineStr">
        <is>
          <t>高</t>
        </is>
      </c>
      <c r="F10" s="6" t="inlineStr">
        <is>
          <t>优先于盲目冲bike lock前30</t>
        </is>
      </c>
    </row>
    <row r="11" ht="38" customHeight="1">
      <c r="A11" s="4" t="inlineStr">
        <is>
          <t>排名目标</t>
        </is>
      </c>
      <c r="B11" s="4" t="inlineStr">
        <is>
          <t>heavy duty anti theft自然位置</t>
        </is>
      </c>
      <c r="C11" s="4" t="inlineStr">
        <is>
          <t>约72 → 40–55</t>
        </is>
      </c>
      <c r="D11" s="4" t="inlineStr">
        <is>
          <t>属性增长词</t>
        </is>
      </c>
      <c r="E11" s="4" t="inlineStr">
        <is>
          <t>高</t>
        </is>
      </c>
      <c r="F11" s="4" t="inlineStr">
        <is>
          <t>需要图片承接</t>
        </is>
      </c>
    </row>
    <row r="12" ht="38" customHeight="1">
      <c r="A12" s="6" t="inlineStr">
        <is>
          <t>排名目标</t>
        </is>
      </c>
      <c r="B12" s="6" t="inlineStr">
        <is>
          <t>electric bike lock自然位置</t>
        </is>
      </c>
      <c r="C12" s="6" t="inlineStr">
        <is>
          <t>约43 → 25–35</t>
        </is>
      </c>
      <c r="D12" s="6" t="inlineStr">
        <is>
          <t>场景增长词</t>
        </is>
      </c>
      <c r="E12" s="6" t="inlineStr">
        <is>
          <t>高</t>
        </is>
      </c>
      <c r="F12" s="6" t="inlineStr">
        <is>
          <t>监测意图错配</t>
        </is>
      </c>
    </row>
    <row r="13" ht="38" customHeight="1">
      <c r="A13" s="4" t="inlineStr">
        <is>
          <t>扩词目标</t>
        </is>
      </c>
      <c r="B13" s="4" t="inlineStr">
        <is>
          <t>稳定成交词数量</t>
        </is>
      </c>
      <c r="C13" s="4" t="inlineStr">
        <is>
          <t>45天达到10–15个</t>
        </is>
      </c>
      <c r="D13" s="4" t="inlineStr">
        <is>
          <t>建立关键词集群</t>
        </is>
      </c>
      <c r="E13" s="4" t="inlineStr">
        <is>
          <t>高</t>
        </is>
      </c>
      <c r="F13" s="4" t="inlineStr">
        <is>
          <t>至少2单或有持续转化证据</t>
        </is>
      </c>
    </row>
    <row r="14" ht="38" customHeight="1">
      <c r="A14" s="6" t="inlineStr">
        <is>
          <t>利润缺口</t>
        </is>
      </c>
      <c r="B14" s="6" t="inlineStr">
        <is>
          <t>商品成本、FBA、佣金、头程、退货成本</t>
        </is>
      </c>
      <c r="C14" s="6" t="inlineStr">
        <is>
          <t>待补充</t>
        </is>
      </c>
      <c r="D14" s="6" t="inlineStr">
        <is>
          <t>计算盈亏平衡ACoS</t>
        </is>
      </c>
      <c r="E14" s="6" t="inlineStr">
        <is>
          <t>最高</t>
        </is>
      </c>
      <c r="F14" s="6" t="inlineStr">
        <is>
          <t>以每单真实变动成本计算</t>
        </is>
      </c>
    </row>
    <row r="15" ht="38" customHeight="1">
      <c r="A15" s="4" t="inlineStr">
        <is>
          <t>广告缺口</t>
        </is>
      </c>
      <c r="B15" s="4" t="inlineStr">
        <is>
          <t>近60天搜索词报告</t>
        </is>
      </c>
      <c r="C15" s="4" t="inlineStr">
        <is>
          <t>待补充</t>
        </is>
      </c>
      <c r="D15" s="4" t="inlineStr">
        <is>
          <t>逐词加价/降价/否定</t>
        </is>
      </c>
      <c r="E15" s="4" t="inlineStr">
        <is>
          <t>最高</t>
        </is>
      </c>
      <c r="F15" s="4" t="inlineStr">
        <is>
          <t>包含曝光、点击、花费、订单、销售额</t>
        </is>
      </c>
    </row>
    <row r="16" ht="38" customHeight="1">
      <c r="A16" s="6" t="inlineStr">
        <is>
          <t>转化缺口</t>
        </is>
      </c>
      <c r="B16" s="6" t="inlineStr">
        <is>
          <t>近30天Sessions与Unit Session %</t>
        </is>
      </c>
      <c r="C16" s="6" t="inlineStr">
        <is>
          <t>待补充</t>
        </is>
      </c>
      <c r="D16" s="6" t="inlineStr">
        <is>
          <t>确定可承受CPC</t>
        </is>
      </c>
      <c r="E16" s="6" t="inlineStr">
        <is>
          <t>最高</t>
        </is>
      </c>
      <c r="F16" s="6" t="inlineStr">
        <is>
          <t>按ASIN和时间段提供</t>
        </is>
      </c>
    </row>
    <row r="17" ht="38" customHeight="1">
      <c r="A17" s="4" t="inlineStr">
        <is>
          <t>流量缺口</t>
        </is>
      </c>
      <c r="B17" s="4" t="inlineStr">
        <is>
          <t>Search Query Performance</t>
        </is>
      </c>
      <c r="C17" s="4" t="inlineStr">
        <is>
          <t>待补充</t>
        </is>
      </c>
      <c r="D17" s="4" t="inlineStr">
        <is>
          <t>判断曝光、点击、购买份额</t>
        </is>
      </c>
      <c r="E17" s="4" t="inlineStr">
        <is>
          <t>中高</t>
        </is>
      </c>
      <c r="F17" s="4" t="inlineStr">
        <is>
          <t>品牌分析中获取</t>
        </is>
      </c>
    </row>
    <row r="18" ht="38" customHeight="1">
      <c r="A18" s="6" t="inlineStr">
        <is>
          <t>库存缺口</t>
        </is>
      </c>
      <c r="B18" s="6" t="inlineStr">
        <is>
          <t>可售库存与补货周期</t>
        </is>
      </c>
      <c r="C18" s="6" t="inlineStr">
        <is>
          <t>待补充</t>
        </is>
      </c>
      <c r="D18" s="6" t="inlineStr">
        <is>
          <t>决定排名预算上限</t>
        </is>
      </c>
      <c r="E18" s="6" t="inlineStr">
        <is>
          <t>高</t>
        </is>
      </c>
      <c r="F18" s="6" t="inlineStr">
        <is>
          <t>排名推进型预算需库存≥45天</t>
        </is>
      </c>
    </row>
  </sheetData>
  <autoFilter ref="A4:F18"/>
  <mergeCells count="2">
    <mergeCell ref="A1:J1"/>
    <mergeCell ref="A2:J2"/>
  </mergeCells>
  <pageMargins left="0.25" right="0.25" top="0.5" bottom="0.5" header="0.5" footer="0.5"/>
  <pageSetup orientation="landscape" fitToHeight="0" fitToWidth="1"/>
  <headerFooter>
    <oddHeader/>
    <oddFooter>&amp;CB0F6D5RSGH 广告推进方案&amp;R第 &amp;P /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Wenmai AI</dc:creator>
  <dc:title xmlns:dc="http://purl.org/dc/elements/1.1/">B0F6D5RSGH 亚马逊广告从0到1推进方案</dc:title>
  <dc:description xmlns:dc="http://purl.org/dc/elements/1.1/">基于2026-07-30数据快照生成</dc:description>
  <dc:subject xmlns:dc="http://purl.org/dc/elements/1.1/">Amazon US ASIN广告关键词、预算、活动结构与优化方案</dc:subject>
  <dcterms:created xmlns:dcterms="http://purl.org/dc/terms/" xmlns:xsi="http://www.w3.org/2001/XMLSchema-instance" xsi:type="dcterms:W3CDTF">2026-07-30T07:40:03Z</dcterms:created>
  <dcterms:modified xmlns:dcterms="http://purl.org/dc/terms/" xmlns:xsi="http://www.w3.org/2001/XMLSchema-instance" xsi:type="dcterms:W3CDTF">2026-07-30T07:40:03Z</dcterms:modified>
</cp:coreProperties>
</file>